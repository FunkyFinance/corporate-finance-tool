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oh/Desktop/WashU Olin Business /Business Tools/"/>
    </mc:Choice>
  </mc:AlternateContent>
  <xr:revisionPtr revIDLastSave="0" documentId="8_{C45FB0B1-1658-6B47-A6CE-8A8B15DA364F}" xr6:coauthVersionLast="47" xr6:coauthVersionMax="47" xr10:uidLastSave="{00000000-0000-0000-0000-000000000000}"/>
  <bookViews>
    <workbookView xWindow="0" yWindow="680" windowWidth="30240" windowHeight="18980" xr2:uid="{00000000-000D-0000-FFFF-FFFF00000000}"/>
  </bookViews>
  <sheets>
    <sheet name="Assumptions" sheetId="5" r:id="rId1"/>
    <sheet name="ProForma" sheetId="7" r:id="rId2"/>
    <sheet name="FPV" sheetId="2" r:id="rId3"/>
    <sheet name="Sensitivity" sheetId="6" r:id="rId4"/>
    <sheet name="Solution" sheetId="3" r:id="rId5"/>
    <sheet name="two Way table" sheetId="8" r:id="rId6"/>
    <sheet name="Value of a Firm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6" l="1"/>
  <c r="C18" i="6"/>
  <c r="C15" i="6"/>
  <c r="C9" i="6"/>
  <c r="C6" i="6"/>
  <c r="H26" i="7"/>
  <c r="G26" i="7"/>
  <c r="F26" i="7"/>
  <c r="E26" i="7"/>
  <c r="D26" i="7"/>
  <c r="C26" i="7"/>
  <c r="G31" i="7"/>
  <c r="F31" i="7"/>
  <c r="E31" i="7"/>
  <c r="H29" i="7"/>
  <c r="G29" i="7"/>
  <c r="F29" i="7"/>
  <c r="E29" i="7"/>
  <c r="D29" i="7"/>
  <c r="C29" i="7"/>
  <c r="D31" i="7"/>
  <c r="C31" i="7"/>
  <c r="H25" i="7"/>
  <c r="H31" i="7" s="1"/>
  <c r="G25" i="7"/>
  <c r="F25" i="7"/>
  <c r="E25" i="7"/>
  <c r="D25" i="7"/>
  <c r="C25" i="7"/>
  <c r="F18" i="7"/>
  <c r="F30" i="7" s="1"/>
  <c r="E18" i="7"/>
  <c r="E30" i="7" s="1"/>
  <c r="H17" i="7"/>
  <c r="G17" i="7"/>
  <c r="F17" i="7"/>
  <c r="E17" i="7"/>
  <c r="D17" i="7"/>
  <c r="C17" i="7"/>
  <c r="H16" i="7"/>
  <c r="H18" i="7" s="1"/>
  <c r="H30" i="7" s="1"/>
  <c r="G16" i="7"/>
  <c r="G18" i="7" s="1"/>
  <c r="G30" i="7" s="1"/>
  <c r="F16" i="7"/>
  <c r="E16" i="7"/>
  <c r="D16" i="7"/>
  <c r="D18" i="7" s="1"/>
  <c r="D30" i="7" s="1"/>
  <c r="C16" i="7"/>
  <c r="C18" i="7" s="1"/>
  <c r="C30" i="7" s="1"/>
  <c r="H10" i="7"/>
  <c r="G10" i="7"/>
  <c r="F10" i="7"/>
  <c r="E10" i="7"/>
  <c r="D10" i="7"/>
  <c r="C10" i="7"/>
  <c r="F9" i="7"/>
  <c r="E9" i="7"/>
  <c r="D9" i="7"/>
  <c r="C9" i="7"/>
  <c r="H7" i="7"/>
  <c r="G7" i="7"/>
  <c r="F7" i="7"/>
  <c r="E7" i="7"/>
  <c r="H6" i="7"/>
  <c r="H8" i="7" s="1"/>
  <c r="G6" i="7"/>
  <c r="G8" i="7" s="1"/>
  <c r="F6" i="7"/>
  <c r="F8" i="7" s="1"/>
  <c r="E6" i="7"/>
  <c r="E8" i="7" s="1"/>
  <c r="D6" i="7"/>
  <c r="D7" i="7" s="1"/>
  <c r="C6" i="7"/>
  <c r="C7" i="7" s="1"/>
  <c r="H3" i="7"/>
  <c r="H9" i="7" s="1"/>
  <c r="G3" i="7"/>
  <c r="G9" i="7" s="1"/>
  <c r="F3" i="7"/>
  <c r="E3" i="7"/>
  <c r="D3" i="7"/>
  <c r="C3" i="7"/>
  <c r="H2" i="7"/>
  <c r="G2" i="7"/>
  <c r="F2" i="7"/>
  <c r="E2" i="7"/>
  <c r="D2" i="7"/>
  <c r="C2" i="7"/>
  <c r="B34" i="7"/>
  <c r="B32" i="7"/>
  <c r="B31" i="7"/>
  <c r="B30" i="7"/>
  <c r="B29" i="7"/>
  <c r="B26" i="7"/>
  <c r="B25" i="7"/>
  <c r="B18" i="7"/>
  <c r="B17" i="7"/>
  <c r="B16" i="7"/>
  <c r="B13" i="7"/>
  <c r="B12" i="7"/>
  <c r="B11" i="7"/>
  <c r="B10" i="7"/>
  <c r="B9" i="7"/>
  <c r="B8" i="7"/>
  <c r="B7" i="7"/>
  <c r="B6" i="7"/>
  <c r="B3" i="7"/>
  <c r="B2" i="7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11" i="5"/>
  <c r="E32" i="7" l="1"/>
  <c r="F32" i="7"/>
  <c r="D32" i="7"/>
  <c r="C32" i="7"/>
  <c r="G32" i="7"/>
  <c r="H32" i="7"/>
  <c r="D11" i="7"/>
  <c r="C11" i="7"/>
  <c r="C8" i="7"/>
  <c r="E11" i="7"/>
  <c r="D8" i="7"/>
  <c r="F11" i="7"/>
  <c r="G11" i="7"/>
  <c r="H11" i="7"/>
  <c r="B35" i="2"/>
  <c r="H30" i="2"/>
  <c r="H32" i="2" s="1"/>
  <c r="C32" i="2"/>
  <c r="D32" i="2"/>
  <c r="E32" i="2"/>
  <c r="F32" i="2"/>
  <c r="G32" i="2"/>
  <c r="C31" i="2" a="1"/>
  <c r="C31" i="2" s="1"/>
  <c r="B32" i="2"/>
  <c r="B35" i="7" l="1"/>
  <c r="C12" i="7"/>
  <c r="C13" i="7"/>
  <c r="E12" i="7"/>
  <c r="E13" i="7" s="1"/>
  <c r="D12" i="7"/>
  <c r="D13" i="7"/>
  <c r="H12" i="7"/>
  <c r="H13" i="7" s="1"/>
  <c r="G12" i="7"/>
  <c r="G13" i="7"/>
  <c r="F12" i="7"/>
  <c r="F13" i="7" s="1"/>
  <c r="D29" i="2"/>
  <c r="E29" i="2"/>
  <c r="F29" i="2"/>
  <c r="G29" i="2"/>
  <c r="H29" i="2"/>
  <c r="C29" i="2"/>
  <c r="D13" i="2"/>
  <c r="E13" i="2"/>
  <c r="F13" i="2"/>
  <c r="G13" i="2"/>
  <c r="H13" i="2"/>
  <c r="C13" i="2"/>
  <c r="C11" i="2"/>
  <c r="D9" i="2"/>
  <c r="E9" i="2"/>
  <c r="F9" i="2"/>
  <c r="G9" i="2"/>
  <c r="G11" i="2" s="1"/>
  <c r="H9" i="2"/>
  <c r="C9" i="2"/>
  <c r="E11" i="2"/>
  <c r="F11" i="2"/>
  <c r="H11" i="2"/>
  <c r="B13" i="2"/>
  <c r="B12" i="2"/>
  <c r="D11" i="2"/>
  <c r="D12" i="2" s="1"/>
  <c r="B11" i="2"/>
  <c r="E26" i="2"/>
  <c r="F26" i="2"/>
  <c r="G26" i="2"/>
  <c r="H26" i="2"/>
  <c r="D26" i="2"/>
  <c r="C26" i="2"/>
  <c r="C25" i="2"/>
  <c r="D25" i="2"/>
  <c r="E25" i="2"/>
  <c r="F25" i="2"/>
  <c r="G25" i="2"/>
  <c r="B25" i="2"/>
  <c r="C8" i="2"/>
  <c r="D8" i="2"/>
  <c r="E8" i="2"/>
  <c r="F8" i="2"/>
  <c r="G8" i="2"/>
  <c r="H8" i="2"/>
  <c r="D7" i="2"/>
  <c r="E7" i="2"/>
  <c r="F7" i="2"/>
  <c r="G7" i="2"/>
  <c r="H7" i="2"/>
  <c r="C7" i="2"/>
  <c r="H17" i="2"/>
  <c r="C22" i="6" l="1"/>
  <c r="C16" i="6"/>
  <c r="C13" i="6"/>
  <c r="C10" i="6"/>
  <c r="C7" i="6"/>
  <c r="C19" i="6"/>
  <c r="C12" i="2"/>
  <c r="H12" i="2"/>
  <c r="G12" i="2"/>
  <c r="F12" i="2"/>
  <c r="E12" i="2"/>
  <c r="D29" i="3"/>
  <c r="C29" i="3"/>
  <c r="B29" i="3"/>
  <c r="B28" i="3"/>
  <c r="E24" i="3"/>
  <c r="B23" i="3"/>
  <c r="B24" i="3" s="1"/>
  <c r="B25" i="3" s="1"/>
  <c r="B30" i="3" s="1"/>
  <c r="D21" i="3"/>
  <c r="C21" i="3"/>
  <c r="D17" i="3"/>
  <c r="C17" i="3"/>
  <c r="B17" i="3"/>
  <c r="E16" i="3"/>
  <c r="E17" i="3" s="1"/>
  <c r="E29" i="3" s="1"/>
  <c r="E9" i="3"/>
  <c r="D9" i="3"/>
  <c r="C9" i="3"/>
  <c r="E7" i="3"/>
  <c r="E10" i="3" s="1"/>
  <c r="D7" i="3"/>
  <c r="D23" i="3" s="1"/>
  <c r="D24" i="3" s="1"/>
  <c r="C7" i="3"/>
  <c r="C23" i="3" s="1"/>
  <c r="C24" i="3" s="1"/>
  <c r="C25" i="3" s="1"/>
  <c r="C30" i="3" s="1"/>
  <c r="C10" i="3" l="1"/>
  <c r="D25" i="3"/>
  <c r="D30" i="3" s="1"/>
  <c r="B31" i="3"/>
  <c r="E25" i="3"/>
  <c r="E30" i="3" s="1"/>
  <c r="E11" i="3"/>
  <c r="E12" i="3"/>
  <c r="E28" i="3" s="1"/>
  <c r="E31" i="3" s="1"/>
  <c r="C11" i="3"/>
  <c r="C12" i="3" s="1"/>
  <c r="C28" i="3" s="1"/>
  <c r="C31" i="3" s="1"/>
  <c r="D10" i="3"/>
  <c r="D11" i="3" l="1"/>
  <c r="D12" i="3" s="1"/>
  <c r="D28" i="3" s="1"/>
  <c r="D31" i="3" s="1"/>
  <c r="B34" i="3" s="1"/>
  <c r="B3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<sst xmlns="http://schemas.openxmlformats.org/spreadsheetml/2006/main" count="139" uniqueCount="77">
  <si>
    <t>Year</t>
  </si>
  <si>
    <t xml:space="preserve">     Initial outlay</t>
  </si>
  <si>
    <t xml:space="preserve">     After tax salvage</t>
  </si>
  <si>
    <t xml:space="preserve">  EBIT</t>
  </si>
  <si>
    <t>NPV Calculations</t>
  </si>
  <si>
    <t xml:space="preserve">     Inventory</t>
  </si>
  <si>
    <t xml:space="preserve">     Unlevered net income + depreciation</t>
  </si>
  <si>
    <t>Discount rate</t>
  </si>
  <si>
    <t>NPV of investment</t>
  </si>
  <si>
    <t xml:space="preserve">     - Capital expenditures</t>
  </si>
  <si>
    <t xml:space="preserve">     - Change in net working capital</t>
  </si>
  <si>
    <t xml:space="preserve">     Incremental revenues</t>
  </si>
  <si>
    <t xml:space="preserve">  Unlevered net income</t>
  </si>
  <si>
    <t xml:space="preserve">     Cash requirements</t>
  </si>
  <si>
    <t xml:space="preserve">     Accounts receivable</t>
  </si>
  <si>
    <t xml:space="preserve">  Capital expenditures</t>
  </si>
  <si>
    <t xml:space="preserve">  Projected NWC</t>
  </si>
  <si>
    <t xml:space="preserve">  Change in NWC</t>
  </si>
  <si>
    <t>Calculating unlevered net income</t>
  </si>
  <si>
    <t>Calculating capital expenditures (CapEx)</t>
  </si>
  <si>
    <t>Calculating change in net working capital (∆NWC)</t>
  </si>
  <si>
    <t xml:space="preserve">   Incremental free cash flow</t>
  </si>
  <si>
    <t>Calculate incremental free cash flows</t>
  </si>
  <si>
    <t xml:space="preserve">     - Incremental cost of goods sold</t>
  </si>
  <si>
    <t xml:space="preserve">     - Other incremental costs</t>
  </si>
  <si>
    <t xml:space="preserve">     - Depreciation</t>
  </si>
  <si>
    <t xml:space="preserve">     - Taxes (25%)</t>
  </si>
  <si>
    <t xml:space="preserve">     - Accounts payable</t>
  </si>
  <si>
    <t>Two-way Data Tables (for sensitivity analysis)</t>
  </si>
  <si>
    <t>Incremental revenues in Year 1</t>
  </si>
  <si>
    <t>Intitial Outlay</t>
  </si>
  <si>
    <t xml:space="preserve">     - Cost Savings</t>
  </si>
  <si>
    <t xml:space="preserve">     - Taxes (40%)</t>
  </si>
  <si>
    <t xml:space="preserve">Discounted Case Flow </t>
  </si>
  <si>
    <t>Pro Forma Assumptions</t>
  </si>
  <si>
    <t>Operating Assumptions</t>
  </si>
  <si>
    <t>Tax rate</t>
  </si>
  <si>
    <t>Discount rate (WACC)</t>
  </si>
  <si>
    <t>COGS (% of revenue)</t>
  </si>
  <si>
    <t>Other incremental costs / SG&amp;A (% of revenue)</t>
  </si>
  <si>
    <t>Net working capital (% of revenue)</t>
  </si>
  <si>
    <t>Capital &amp; Depreciation</t>
  </si>
  <si>
    <t>Depreciable base</t>
  </si>
  <si>
    <t>Depreciation period (years)</t>
  </si>
  <si>
    <t>Salvage value (pre-tax)</t>
  </si>
  <si>
    <t>Salvage received in year</t>
  </si>
  <si>
    <t>Timing</t>
  </si>
  <si>
    <t>Base year</t>
  </si>
  <si>
    <t>Forecast years (n)</t>
  </si>
  <si>
    <t>Annual Inputs by Year</t>
  </si>
  <si>
    <t>Year (index)</t>
  </si>
  <si>
    <t>Calendar year</t>
  </si>
  <si>
    <t>Incremental revenues</t>
  </si>
  <si>
    <t>Cost savings</t>
  </si>
  <si>
    <t>Capital expenditure (outlay)</t>
  </si>
  <si>
    <t>Pro Forma — NPV Calculations</t>
  </si>
  <si>
    <t xml:space="preserve">     - Taxes</t>
  </si>
  <si>
    <t>Sensitivity &amp; Breakeven Analysis</t>
  </si>
  <si>
    <t>($ in thousands)</t>
  </si>
  <si>
    <t>Assumption</t>
  </si>
  <si>
    <t>Worst</t>
  </si>
  <si>
    <t>Base</t>
  </si>
  <si>
    <t>Best</t>
  </si>
  <si>
    <t>Breakeven</t>
  </si>
  <si>
    <t>COGS %</t>
  </si>
  <si>
    <t>NPV</t>
  </si>
  <si>
    <t>SG&amp;A %</t>
  </si>
  <si>
    <t>Growth rate in savings &amp; revenues</t>
  </si>
  <si>
    <t>Net working capital %</t>
  </si>
  <si>
    <t>Second capital outlay</t>
  </si>
  <si>
    <t>Baseline shortwood sales</t>
  </si>
  <si>
    <t>Worst/Best/Breakeven NPVs are scenario outputs. Base column links to the live model (ProForma NPV). To refresh a scenario, enter the assumption value in the Assumptions tab; breakevens are found via Goal Seek.</t>
  </si>
  <si>
    <t xml:space="preserve">Use solver and set NPV to zero based on value </t>
  </si>
  <si>
    <t>Set to NPV formula</t>
  </si>
  <si>
    <t xml:space="preserve">Set to row </t>
  </si>
  <si>
    <t xml:space="preserve">Set to column </t>
  </si>
  <si>
    <t>Use What if function under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</si>
</sst>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4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.5"/>
      <name val="Arial"/>
      <family val="2"/>
    </font>
    <font>
      <b/>
      <sz val="12.5"/>
      <name val="Arial"/>
      <family val="2"/>
    </font>
    <font>
      <i/>
      <sz val="12.5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i/>
      <sz val="12.5"/>
      <name val="Arial"/>
      <family val="2"/>
    </font>
    <font>
      <sz val="12.5"/>
      <color rgb="FF0000FF"/>
      <name val="Arial"/>
      <family val="2"/>
    </font>
    <font>
      <sz val="12.5"/>
      <color rgb="FF000000"/>
      <name val="Arial"/>
      <family val="2"/>
    </font>
    <font>
      <b/>
      <sz val="12.5"/>
      <color rgb="FF000000"/>
      <name val="Arial"/>
      <family val="2"/>
    </font>
    <font>
      <sz val="12.5"/>
      <color rgb="FF008000"/>
      <name val="Arial"/>
      <family val="2"/>
    </font>
    <font>
      <b/>
      <sz val="12.5"/>
      <color rgb="FF00800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i/>
      <sz val="9"/>
      <color rgb="FF80808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3" fontId="5" fillId="0" borderId="0" xfId="0" applyNumberFormat="1" applyFont="1"/>
    <xf numFmtId="9" fontId="4" fillId="0" borderId="0" xfId="0" applyNumberFormat="1" applyFont="1"/>
    <xf numFmtId="44" fontId="5" fillId="0" borderId="0" xfId="1" applyFont="1"/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7" fillId="0" borderId="0" xfId="0" applyFont="1"/>
    <xf numFmtId="44" fontId="9" fillId="0" borderId="2" xfId="0" applyNumberFormat="1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9" fontId="12" fillId="3" borderId="0" xfId="0" applyNumberFormat="1" applyFont="1" applyFill="1"/>
    <xf numFmtId="3" fontId="13" fillId="0" borderId="0" xfId="0" applyNumberFormat="1" applyFont="1"/>
    <xf numFmtId="1" fontId="12" fillId="3" borderId="0" xfId="0" applyNumberFormat="1" applyFont="1" applyFill="1"/>
    <xf numFmtId="3" fontId="12" fillId="3" borderId="0" xfId="0" applyNumberFormat="1" applyFont="1" applyFill="1"/>
    <xf numFmtId="1" fontId="1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44" fontId="5" fillId="0" borderId="0" xfId="0" applyNumberFormat="1" applyFont="1"/>
    <xf numFmtId="1" fontId="15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/>
    </xf>
    <xf numFmtId="3" fontId="15" fillId="0" borderId="0" xfId="0" applyNumberFormat="1" applyFont="1"/>
    <xf numFmtId="9" fontId="15" fillId="0" borderId="0" xfId="0" applyNumberFormat="1" applyFont="1"/>
    <xf numFmtId="0" fontId="19" fillId="0" borderId="0" xfId="0" applyFont="1"/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right"/>
    </xf>
    <xf numFmtId="0" fontId="17" fillId="0" borderId="0" xfId="0" applyFont="1" applyAlignment="1">
      <alignment horizontal="right"/>
    </xf>
    <xf numFmtId="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3" fillId="0" borderId="5" xfId="0" applyFont="1" applyBorder="1"/>
    <xf numFmtId="9" fontId="20" fillId="3" borderId="5" xfId="0" applyNumberFormat="1" applyFont="1" applyFill="1" applyBorder="1" applyAlignment="1">
      <alignment horizontal="center"/>
    </xf>
    <xf numFmtId="9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20" fillId="3" borderId="5" xfId="0" applyNumberFormat="1" applyFont="1" applyFill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3" fontId="20" fillId="3" borderId="5" xfId="0" applyNumberFormat="1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3" fillId="0" borderId="3" xfId="0" applyFont="1" applyBorder="1"/>
    <xf numFmtId="9" fontId="20" fillId="3" borderId="3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20" fillId="3" borderId="3" xfId="0" applyNumberFormat="1" applyFont="1" applyFill="1" applyBorder="1" applyAlignment="1">
      <alignment horizontal="center"/>
    </xf>
    <xf numFmtId="3" fontId="20" fillId="3" borderId="3" xfId="0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right"/>
    </xf>
    <xf numFmtId="3" fontId="3" fillId="0" borderId="9" xfId="0" applyNumberFormat="1" applyFont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44" fontId="23" fillId="0" borderId="2" xfId="0" applyNumberFormat="1" applyFont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49F1F3-4BF6-9D4B-98C7-07FAEAB4459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8ec366-3d72-4217-b7ea-1568a35c804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F240-016D-2C48-83C6-07621B0547DE}">
  <dimension ref="A1:I40"/>
  <sheetViews>
    <sheetView tabSelected="1" zoomScale="95" workbookViewId="0">
      <selection activeCell="B5" sqref="B5"/>
    </sheetView>
  </sheetViews>
  <sheetFormatPr baseColWidth="10" defaultColWidth="8.83203125" defaultRowHeight="14" x14ac:dyDescent="0.15"/>
  <cols>
    <col min="1" max="1" width="43.33203125" style="1" customWidth="1"/>
    <col min="2" max="8" width="13" style="1" customWidth="1"/>
    <col min="9" max="16384" width="8.83203125" style="1"/>
  </cols>
  <sheetData>
    <row r="1" spans="1:9" ht="20" x14ac:dyDescent="0.2">
      <c r="A1" s="18" t="s">
        <v>34</v>
      </c>
      <c r="B1"/>
      <c r="C1"/>
      <c r="D1"/>
      <c r="E1"/>
      <c r="F1"/>
      <c r="G1"/>
      <c r="H1"/>
    </row>
    <row r="2" spans="1:9" s="2" customFormat="1" ht="32.25" customHeight="1" x14ac:dyDescent="0.2">
      <c r="A2"/>
      <c r="B2"/>
      <c r="C2"/>
      <c r="D2"/>
      <c r="E2"/>
      <c r="F2"/>
      <c r="G2"/>
      <c r="H2"/>
    </row>
    <row r="3" spans="1:9" s="2" customFormat="1" ht="17" x14ac:dyDescent="0.2">
      <c r="A3" s="19" t="s">
        <v>35</v>
      </c>
      <c r="B3"/>
      <c r="C3"/>
      <c r="D3"/>
      <c r="E3"/>
      <c r="F3"/>
      <c r="G3"/>
      <c r="H3"/>
      <c r="I3" s="9"/>
    </row>
    <row r="4" spans="1:9" s="2" customFormat="1" ht="17" x14ac:dyDescent="0.2">
      <c r="A4" s="2" t="s">
        <v>36</v>
      </c>
      <c r="B4" s="20">
        <v>0.4</v>
      </c>
      <c r="C4"/>
      <c r="D4"/>
      <c r="E4"/>
      <c r="F4"/>
      <c r="G4"/>
      <c r="H4"/>
    </row>
    <row r="5" spans="1:9" s="2" customFormat="1" ht="17" x14ac:dyDescent="0.2">
      <c r="A5" s="2" t="s">
        <v>37</v>
      </c>
      <c r="B5" s="20">
        <v>0.08</v>
      </c>
      <c r="C5"/>
      <c r="D5"/>
      <c r="E5"/>
      <c r="F5"/>
      <c r="G5"/>
      <c r="H5"/>
    </row>
    <row r="6" spans="1:9" s="2" customFormat="1" ht="17" x14ac:dyDescent="0.2">
      <c r="A6" s="2" t="s">
        <v>38</v>
      </c>
      <c r="B6" s="20">
        <v>0.75</v>
      </c>
      <c r="C6"/>
      <c r="D6"/>
      <c r="E6"/>
      <c r="F6"/>
      <c r="G6"/>
      <c r="H6"/>
    </row>
    <row r="7" spans="1:9" s="2" customFormat="1" ht="17" x14ac:dyDescent="0.2">
      <c r="A7" s="2" t="s">
        <v>39</v>
      </c>
      <c r="B7" s="20">
        <v>0.05</v>
      </c>
      <c r="C7"/>
      <c r="D7"/>
      <c r="E7"/>
      <c r="F7"/>
      <c r="G7"/>
      <c r="H7"/>
    </row>
    <row r="8" spans="1:9" s="2" customFormat="1" ht="17" x14ac:dyDescent="0.2">
      <c r="A8" s="2" t="s">
        <v>40</v>
      </c>
      <c r="B8" s="20">
        <v>0.1</v>
      </c>
      <c r="C8"/>
      <c r="D8"/>
      <c r="E8"/>
      <c r="F8"/>
      <c r="G8"/>
      <c r="H8"/>
    </row>
    <row r="9" spans="1:9" s="2" customFormat="1" ht="17" x14ac:dyDescent="0.2">
      <c r="B9"/>
      <c r="C9"/>
      <c r="D9"/>
      <c r="E9"/>
      <c r="F9"/>
      <c r="G9"/>
      <c r="H9"/>
    </row>
    <row r="10" spans="1:9" s="2" customFormat="1" ht="17" x14ac:dyDescent="0.2">
      <c r="A10" s="19" t="s">
        <v>41</v>
      </c>
      <c r="B10"/>
      <c r="C10"/>
      <c r="D10"/>
      <c r="E10"/>
      <c r="F10"/>
      <c r="G10"/>
      <c r="H10"/>
    </row>
    <row r="11" spans="1:9" s="2" customFormat="1" ht="17" x14ac:dyDescent="0.2">
      <c r="A11" s="2" t="s">
        <v>42</v>
      </c>
      <c r="B11" s="21">
        <f>SUM(B25:H25)</f>
        <v>18000000</v>
      </c>
      <c r="C11"/>
      <c r="D11"/>
      <c r="E11"/>
      <c r="F11"/>
      <c r="G11"/>
      <c r="H11"/>
    </row>
    <row r="12" spans="1:9" s="2" customFormat="1" ht="17" x14ac:dyDescent="0.2">
      <c r="A12" s="2" t="s">
        <v>43</v>
      </c>
      <c r="B12" s="22">
        <v>6</v>
      </c>
      <c r="C12"/>
      <c r="D12"/>
      <c r="E12"/>
      <c r="F12"/>
      <c r="G12"/>
      <c r="H12"/>
    </row>
    <row r="13" spans="1:9" s="2" customFormat="1" ht="17" x14ac:dyDescent="0.2">
      <c r="A13" s="2" t="s">
        <v>44</v>
      </c>
      <c r="B13" s="23">
        <v>1800000</v>
      </c>
      <c r="C13"/>
      <c r="D13"/>
      <c r="E13"/>
      <c r="F13"/>
      <c r="G13"/>
      <c r="H13"/>
    </row>
    <row r="14" spans="1:9" s="2" customFormat="1" ht="23" customHeight="1" x14ac:dyDescent="0.2">
      <c r="A14" s="2" t="s">
        <v>45</v>
      </c>
      <c r="B14" s="22">
        <v>6</v>
      </c>
      <c r="C14"/>
      <c r="D14"/>
      <c r="E14"/>
      <c r="F14"/>
      <c r="G14"/>
      <c r="H14"/>
    </row>
    <row r="15" spans="1:9" s="2" customFormat="1" ht="17" x14ac:dyDescent="0.2">
      <c r="B15"/>
      <c r="C15"/>
      <c r="D15"/>
      <c r="E15"/>
      <c r="F15"/>
      <c r="G15"/>
      <c r="H15"/>
    </row>
    <row r="16" spans="1:9" s="2" customFormat="1" ht="17" x14ac:dyDescent="0.2">
      <c r="A16" s="19" t="s">
        <v>46</v>
      </c>
      <c r="B16"/>
      <c r="C16"/>
      <c r="D16"/>
      <c r="E16"/>
      <c r="F16"/>
      <c r="G16"/>
      <c r="H16"/>
    </row>
    <row r="17" spans="1:8" s="2" customFormat="1" ht="17" x14ac:dyDescent="0.2">
      <c r="A17" s="2" t="s">
        <v>47</v>
      </c>
      <c r="B17" s="22">
        <v>2016</v>
      </c>
      <c r="C17"/>
      <c r="D17"/>
      <c r="E17"/>
      <c r="F17"/>
      <c r="G17"/>
      <c r="H17"/>
    </row>
    <row r="18" spans="1:8" s="2" customFormat="1" ht="17" x14ac:dyDescent="0.2">
      <c r="A18" s="2" t="s">
        <v>48</v>
      </c>
      <c r="B18" s="22">
        <v>6</v>
      </c>
      <c r="C18"/>
      <c r="D18"/>
      <c r="E18"/>
      <c r="F18"/>
      <c r="G18"/>
      <c r="H18"/>
    </row>
    <row r="19" spans="1:8" s="2" customFormat="1" ht="20" customHeight="1" x14ac:dyDescent="0.2">
      <c r="B19"/>
      <c r="C19"/>
      <c r="D19"/>
      <c r="E19"/>
      <c r="F19"/>
      <c r="G19"/>
      <c r="H19"/>
    </row>
    <row r="20" spans="1:8" s="2" customFormat="1" ht="17" x14ac:dyDescent="0.2">
      <c r="A20" s="19" t="s">
        <v>49</v>
      </c>
      <c r="B20"/>
      <c r="C20"/>
      <c r="D20"/>
      <c r="E20"/>
      <c r="F20"/>
      <c r="G20"/>
      <c r="H20"/>
    </row>
    <row r="21" spans="1:8" s="2" customFormat="1" ht="17" x14ac:dyDescent="0.2">
      <c r="A21" s="2" t="s">
        <v>50</v>
      </c>
      <c r="B21" s="24">
        <v>0</v>
      </c>
      <c r="C21" s="25">
        <f t="shared" ref="C21:H22" si="0">B21+1</f>
        <v>1</v>
      </c>
      <c r="D21" s="25">
        <f t="shared" si="0"/>
        <v>2</v>
      </c>
      <c r="E21" s="25">
        <f t="shared" si="0"/>
        <v>3</v>
      </c>
      <c r="F21" s="25">
        <f t="shared" si="0"/>
        <v>4</v>
      </c>
      <c r="G21" s="25">
        <f t="shared" si="0"/>
        <v>5</v>
      </c>
      <c r="H21" s="25">
        <f t="shared" si="0"/>
        <v>6</v>
      </c>
    </row>
    <row r="22" spans="1:8" s="2" customFormat="1" ht="17" x14ac:dyDescent="0.2">
      <c r="A22" s="2" t="s">
        <v>51</v>
      </c>
      <c r="B22" s="26">
        <f>B17</f>
        <v>2016</v>
      </c>
      <c r="C22" s="26">
        <f t="shared" si="0"/>
        <v>2017</v>
      </c>
      <c r="D22" s="26">
        <f t="shared" si="0"/>
        <v>2018</v>
      </c>
      <c r="E22" s="26">
        <f t="shared" si="0"/>
        <v>2019</v>
      </c>
      <c r="F22" s="26">
        <f t="shared" si="0"/>
        <v>2020</v>
      </c>
      <c r="G22" s="26">
        <f t="shared" si="0"/>
        <v>2021</v>
      </c>
      <c r="H22" s="26">
        <f t="shared" si="0"/>
        <v>2022</v>
      </c>
    </row>
    <row r="23" spans="1:8" s="2" customFormat="1" ht="17" x14ac:dyDescent="0.2">
      <c r="A23" s="2" t="s">
        <v>52</v>
      </c>
      <c r="B23" s="23">
        <v>0</v>
      </c>
      <c r="C23" s="23">
        <v>4000000</v>
      </c>
      <c r="D23" s="23">
        <v>10000000</v>
      </c>
      <c r="E23" s="23">
        <v>10000000</v>
      </c>
      <c r="F23" s="23">
        <v>10000000</v>
      </c>
      <c r="G23" s="23">
        <v>10000000</v>
      </c>
      <c r="H23" s="23">
        <v>10000000</v>
      </c>
    </row>
    <row r="24" spans="1:8" s="2" customFormat="1" ht="17" x14ac:dyDescent="0.2">
      <c r="A24" s="2" t="s">
        <v>53</v>
      </c>
      <c r="B24" s="23">
        <v>0</v>
      </c>
      <c r="C24" s="23">
        <v>2000000</v>
      </c>
      <c r="D24" s="23">
        <v>3500000</v>
      </c>
      <c r="E24" s="23">
        <v>3500000</v>
      </c>
      <c r="F24" s="23">
        <v>3500000</v>
      </c>
      <c r="G24" s="23">
        <v>3500000</v>
      </c>
      <c r="H24" s="23">
        <v>3500000</v>
      </c>
    </row>
    <row r="25" spans="1:8" s="2" customFormat="1" ht="17" x14ac:dyDescent="0.2">
      <c r="A25" s="2" t="s">
        <v>54</v>
      </c>
      <c r="B25" s="23">
        <v>16000000</v>
      </c>
      <c r="C25" s="23">
        <v>2000000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</row>
    <row r="26" spans="1:8" s="2" customFormat="1" ht="17" x14ac:dyDescent="0.2">
      <c r="A26"/>
      <c r="B26"/>
      <c r="C26"/>
      <c r="D26"/>
      <c r="E26"/>
      <c r="F26"/>
      <c r="G26"/>
      <c r="H26"/>
    </row>
    <row r="27" spans="1:8" s="2" customFormat="1" ht="20" customHeight="1" x14ac:dyDescent="0.2">
      <c r="A27"/>
      <c r="B27"/>
      <c r="C27"/>
      <c r="D27"/>
      <c r="E27"/>
      <c r="F27"/>
      <c r="G27"/>
      <c r="H27"/>
    </row>
    <row r="28" spans="1:8" s="2" customFormat="1" ht="17" x14ac:dyDescent="0.2">
      <c r="A28"/>
      <c r="B28"/>
      <c r="C28"/>
      <c r="D28"/>
      <c r="E28"/>
      <c r="F28"/>
      <c r="G28"/>
      <c r="H28"/>
    </row>
    <row r="29" spans="1:8" s="2" customFormat="1" ht="17" x14ac:dyDescent="0.2">
      <c r="A29"/>
      <c r="B29"/>
      <c r="C29"/>
      <c r="D29"/>
      <c r="E29"/>
      <c r="F29"/>
      <c r="G29"/>
      <c r="H29"/>
    </row>
    <row r="30" spans="1:8" s="2" customFormat="1" ht="17" x14ac:dyDescent="0.2">
      <c r="A30"/>
      <c r="B30"/>
      <c r="C30"/>
      <c r="D30"/>
      <c r="E30"/>
      <c r="F30"/>
      <c r="G30"/>
      <c r="H30"/>
    </row>
    <row r="31" spans="1:8" s="2" customFormat="1" ht="17" x14ac:dyDescent="0.2">
      <c r="A31"/>
      <c r="B31"/>
      <c r="C31"/>
      <c r="D31"/>
      <c r="E31"/>
      <c r="F31"/>
      <c r="G31"/>
      <c r="H31"/>
    </row>
    <row r="32" spans="1:8" s="2" customFormat="1" ht="17" x14ac:dyDescent="0.2">
      <c r="A32"/>
      <c r="B32"/>
      <c r="C32"/>
      <c r="D32"/>
      <c r="E32"/>
      <c r="F32"/>
      <c r="G32"/>
      <c r="H32"/>
    </row>
    <row r="33" spans="1:8" s="2" customFormat="1" ht="34.5" customHeight="1" x14ac:dyDescent="0.2">
      <c r="A33"/>
      <c r="B33"/>
      <c r="C33"/>
      <c r="D33"/>
      <c r="E33"/>
      <c r="F33"/>
      <c r="G33"/>
      <c r="H33"/>
    </row>
    <row r="34" spans="1:8" s="2" customFormat="1" ht="17" x14ac:dyDescent="0.2">
      <c r="A34"/>
      <c r="B34"/>
      <c r="C34"/>
      <c r="D34"/>
      <c r="E34"/>
      <c r="F34"/>
      <c r="G34"/>
      <c r="H34"/>
    </row>
    <row r="35" spans="1:8" s="2" customFormat="1" ht="17" x14ac:dyDescent="0.2">
      <c r="A35"/>
      <c r="B35"/>
      <c r="C35"/>
      <c r="D35"/>
      <c r="E35"/>
      <c r="F35"/>
      <c r="G35"/>
      <c r="H35"/>
    </row>
    <row r="36" spans="1:8" x14ac:dyDescent="0.15">
      <c r="A36"/>
      <c r="B36"/>
      <c r="C36"/>
      <c r="D36"/>
      <c r="E36"/>
      <c r="F36"/>
      <c r="G36"/>
      <c r="H36"/>
    </row>
    <row r="37" spans="1:8" x14ac:dyDescent="0.15">
      <c r="A37"/>
      <c r="B37"/>
      <c r="C37"/>
      <c r="D37"/>
      <c r="E37"/>
      <c r="F37"/>
      <c r="G37"/>
      <c r="H37"/>
    </row>
    <row r="38" spans="1:8" x14ac:dyDescent="0.15">
      <c r="A38"/>
      <c r="B38"/>
      <c r="C38"/>
      <c r="D38"/>
      <c r="E38"/>
      <c r="F38"/>
      <c r="G38"/>
      <c r="H38"/>
    </row>
    <row r="39" spans="1:8" x14ac:dyDescent="0.15">
      <c r="A39"/>
      <c r="B39"/>
      <c r="C39"/>
      <c r="D39"/>
      <c r="E39"/>
      <c r="F39"/>
      <c r="G39"/>
      <c r="H39"/>
    </row>
    <row r="40" spans="1:8" x14ac:dyDescent="0.15">
      <c r="A40"/>
      <c r="B40"/>
      <c r="C40"/>
      <c r="D40"/>
      <c r="E40"/>
      <c r="F40"/>
      <c r="G40"/>
      <c r="H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7B82-2103-F548-8870-C08B41095DA8}">
  <dimension ref="A1:H35"/>
  <sheetViews>
    <sheetView workbookViewId="0">
      <selection sqref="A1:E1"/>
    </sheetView>
  </sheetViews>
  <sheetFormatPr baseColWidth="10" defaultRowHeight="13" x14ac:dyDescent="0.15"/>
  <cols>
    <col min="1" max="1" width="46.6640625" customWidth="1"/>
    <col min="2" max="2" width="16.33203125" bestFit="1" customWidth="1"/>
    <col min="3" max="8" width="13.33203125" customWidth="1"/>
  </cols>
  <sheetData>
    <row r="1" spans="1:8" ht="23" x14ac:dyDescent="0.25">
      <c r="A1" s="61" t="s">
        <v>55</v>
      </c>
      <c r="B1" s="61"/>
      <c r="C1" s="61"/>
      <c r="D1" s="61"/>
      <c r="E1" s="61"/>
      <c r="F1" s="2"/>
      <c r="G1" s="2"/>
      <c r="H1" s="2"/>
    </row>
    <row r="2" spans="1:8" ht="17" x14ac:dyDescent="0.2">
      <c r="A2" s="2"/>
      <c r="B2" s="28">
        <f>Assumptions!B22</f>
        <v>2016</v>
      </c>
      <c r="C2" s="28">
        <f>Assumptions!C22</f>
        <v>2017</v>
      </c>
      <c r="D2" s="28">
        <f>Assumptions!D22</f>
        <v>2018</v>
      </c>
      <c r="E2" s="28">
        <f>Assumptions!E22</f>
        <v>2019</v>
      </c>
      <c r="F2" s="28">
        <f>Assumptions!F22</f>
        <v>2020</v>
      </c>
      <c r="G2" s="28">
        <f>Assumptions!G22</f>
        <v>2021</v>
      </c>
      <c r="H2" s="28">
        <f>Assumptions!H22</f>
        <v>2022</v>
      </c>
    </row>
    <row r="3" spans="1:8" ht="17" x14ac:dyDescent="0.2">
      <c r="A3" s="3" t="s">
        <v>0</v>
      </c>
      <c r="B3" s="29">
        <f>Assumptions!B21</f>
        <v>0</v>
      </c>
      <c r="C3" s="29">
        <f>Assumptions!C21</f>
        <v>1</v>
      </c>
      <c r="D3" s="29">
        <f>Assumptions!D21</f>
        <v>2</v>
      </c>
      <c r="E3" s="29">
        <f>Assumptions!E21</f>
        <v>3</v>
      </c>
      <c r="F3" s="29">
        <f>Assumptions!F21</f>
        <v>4</v>
      </c>
      <c r="G3" s="29">
        <f>Assumptions!G21</f>
        <v>5</v>
      </c>
      <c r="H3" s="29">
        <f>Assumptions!H21</f>
        <v>6</v>
      </c>
    </row>
    <row r="4" spans="1:8" ht="17" x14ac:dyDescent="0.2">
      <c r="A4" s="2"/>
      <c r="B4" s="2"/>
      <c r="C4" s="2"/>
      <c r="D4" s="2"/>
      <c r="E4" s="2"/>
      <c r="F4" s="2"/>
      <c r="G4" s="2"/>
      <c r="H4" s="2"/>
    </row>
    <row r="5" spans="1:8" ht="17" x14ac:dyDescent="0.2">
      <c r="A5" s="5" t="s">
        <v>18</v>
      </c>
      <c r="B5" s="2"/>
      <c r="C5" s="2"/>
      <c r="D5" s="2"/>
      <c r="E5" s="2"/>
      <c r="F5" s="2"/>
      <c r="G5" s="2"/>
      <c r="H5" s="2"/>
    </row>
    <row r="6" spans="1:8" ht="17" x14ac:dyDescent="0.2">
      <c r="A6" s="2" t="s">
        <v>11</v>
      </c>
      <c r="B6" s="30">
        <f>Assumptions!B23</f>
        <v>0</v>
      </c>
      <c r="C6" s="30">
        <f>Assumptions!C23</f>
        <v>4000000</v>
      </c>
      <c r="D6" s="30">
        <f>Assumptions!D23</f>
        <v>10000000</v>
      </c>
      <c r="E6" s="30">
        <f>Assumptions!E23</f>
        <v>10000000</v>
      </c>
      <c r="F6" s="30">
        <f>Assumptions!F23</f>
        <v>10000000</v>
      </c>
      <c r="G6" s="30">
        <f>Assumptions!G23</f>
        <v>10000000</v>
      </c>
      <c r="H6" s="30">
        <f>Assumptions!H23</f>
        <v>10000000</v>
      </c>
    </row>
    <row r="7" spans="1:8" ht="17" x14ac:dyDescent="0.2">
      <c r="A7" s="2" t="s">
        <v>23</v>
      </c>
      <c r="B7" s="4">
        <f>-Assumptions!$B$6*B6</f>
        <v>0</v>
      </c>
      <c r="C7" s="4">
        <f>-Assumptions!$B$6*C6</f>
        <v>-3000000</v>
      </c>
      <c r="D7" s="4">
        <f>-Assumptions!$B$6*D6</f>
        <v>-7500000</v>
      </c>
      <c r="E7" s="4">
        <f>-Assumptions!$B$6*E6</f>
        <v>-7500000</v>
      </c>
      <c r="F7" s="4">
        <f>-Assumptions!$B$6*F6</f>
        <v>-7500000</v>
      </c>
      <c r="G7" s="4">
        <f>-Assumptions!$B$6*G6</f>
        <v>-7500000</v>
      </c>
      <c r="H7" s="4">
        <f>-Assumptions!$B$6*H6</f>
        <v>-7500000</v>
      </c>
    </row>
    <row r="8" spans="1:8" ht="17" x14ac:dyDescent="0.2">
      <c r="A8" s="2" t="s">
        <v>24</v>
      </c>
      <c r="B8" s="4">
        <f>-Assumptions!$B$7*B6</f>
        <v>0</v>
      </c>
      <c r="C8" s="4">
        <f>-Assumptions!$B$7*C6</f>
        <v>-200000</v>
      </c>
      <c r="D8" s="4">
        <f>-Assumptions!$B$7*D6</f>
        <v>-500000</v>
      </c>
      <c r="E8" s="4">
        <f>-Assumptions!$B$7*E6</f>
        <v>-500000</v>
      </c>
      <c r="F8" s="4">
        <f>-Assumptions!$B$7*F6</f>
        <v>-500000</v>
      </c>
      <c r="G8" s="4">
        <f>-Assumptions!$B$7*G6</f>
        <v>-500000</v>
      </c>
      <c r="H8" s="4">
        <f>-Assumptions!$B$7*H6</f>
        <v>-500000</v>
      </c>
    </row>
    <row r="9" spans="1:8" ht="17" x14ac:dyDescent="0.2">
      <c r="A9" s="2" t="s">
        <v>25</v>
      </c>
      <c r="B9" s="4">
        <f>IF(AND(B3&gt;=1,B3&lt;=Assumptions!$B$12),-Assumptions!$B$11/Assumptions!$B$12,0)</f>
        <v>0</v>
      </c>
      <c r="C9" s="4">
        <f>IF(AND(C3&gt;=1,C3&lt;=Assumptions!$B$12),-Assumptions!$B$11/Assumptions!$B$12,0)</f>
        <v>-3000000</v>
      </c>
      <c r="D9" s="4">
        <f>IF(AND(D3&gt;=1,D3&lt;=Assumptions!$B$12),-Assumptions!$B$11/Assumptions!$B$12,0)</f>
        <v>-3000000</v>
      </c>
      <c r="E9" s="4">
        <f>IF(AND(E3&gt;=1,E3&lt;=Assumptions!$B$12),-Assumptions!$B$11/Assumptions!$B$12,0)</f>
        <v>-3000000</v>
      </c>
      <c r="F9" s="4">
        <f>IF(AND(F3&gt;=1,F3&lt;=Assumptions!$B$12),-Assumptions!$B$11/Assumptions!$B$12,0)</f>
        <v>-3000000</v>
      </c>
      <c r="G9" s="4">
        <f>IF(AND(G3&gt;=1,G3&lt;=Assumptions!$B$12),-Assumptions!$B$11/Assumptions!$B$12,0)</f>
        <v>-3000000</v>
      </c>
      <c r="H9" s="4">
        <f>IF(AND(H3&gt;=1,H3&lt;=Assumptions!$B$12),-Assumptions!$B$11/Assumptions!$B$12,0)</f>
        <v>-3000000</v>
      </c>
    </row>
    <row r="10" spans="1:8" ht="17" x14ac:dyDescent="0.2">
      <c r="A10" s="2" t="s">
        <v>31</v>
      </c>
      <c r="B10" s="30">
        <f>Assumptions!B24</f>
        <v>0</v>
      </c>
      <c r="C10" s="30">
        <f>Assumptions!C24</f>
        <v>2000000</v>
      </c>
      <c r="D10" s="30">
        <f>Assumptions!D24</f>
        <v>3500000</v>
      </c>
      <c r="E10" s="30">
        <f>Assumptions!E24</f>
        <v>3500000</v>
      </c>
      <c r="F10" s="30">
        <f>Assumptions!F24</f>
        <v>3500000</v>
      </c>
      <c r="G10" s="30">
        <f>Assumptions!G24</f>
        <v>3500000</v>
      </c>
      <c r="H10" s="30">
        <f>Assumptions!H24</f>
        <v>3500000</v>
      </c>
    </row>
    <row r="11" spans="1:8" ht="17" x14ac:dyDescent="0.2">
      <c r="A11" s="2" t="s">
        <v>3</v>
      </c>
      <c r="B11" s="4">
        <f>SUM(B6:B10)</f>
        <v>0</v>
      </c>
      <c r="C11" s="4">
        <f t="shared" ref="C11:H11" si="0">SUM(C6:C10)</f>
        <v>-200000</v>
      </c>
      <c r="D11" s="4">
        <f t="shared" si="0"/>
        <v>2500000</v>
      </c>
      <c r="E11" s="4">
        <f t="shared" si="0"/>
        <v>2500000</v>
      </c>
      <c r="F11" s="4">
        <f t="shared" si="0"/>
        <v>2500000</v>
      </c>
      <c r="G11" s="4">
        <f t="shared" si="0"/>
        <v>2500000</v>
      </c>
      <c r="H11" s="4">
        <f t="shared" si="0"/>
        <v>2500000</v>
      </c>
    </row>
    <row r="12" spans="1:8" ht="17" x14ac:dyDescent="0.2">
      <c r="A12" s="2" t="s">
        <v>56</v>
      </c>
      <c r="B12" s="4">
        <f>B11*Assumptions!$B$4</f>
        <v>0</v>
      </c>
      <c r="C12" s="4">
        <f>C11*Assumptions!$B$4</f>
        <v>-80000</v>
      </c>
      <c r="D12" s="4">
        <f>D11*Assumptions!$B$4</f>
        <v>1000000</v>
      </c>
      <c r="E12" s="4">
        <f>E11*Assumptions!$B$4</f>
        <v>1000000</v>
      </c>
      <c r="F12" s="4">
        <f>F11*Assumptions!$B$4</f>
        <v>1000000</v>
      </c>
      <c r="G12" s="4">
        <f>G11*Assumptions!$B$4</f>
        <v>1000000</v>
      </c>
      <c r="H12" s="4">
        <f>H11*Assumptions!$B$4</f>
        <v>1000000</v>
      </c>
    </row>
    <row r="13" spans="1:8" ht="17" x14ac:dyDescent="0.2">
      <c r="A13" s="3" t="s">
        <v>12</v>
      </c>
      <c r="B13" s="6">
        <f>B11-B12</f>
        <v>0</v>
      </c>
      <c r="C13" s="6">
        <f t="shared" ref="C13:H13" si="1">C11-C12</f>
        <v>-120000</v>
      </c>
      <c r="D13" s="6">
        <f t="shared" si="1"/>
        <v>1500000</v>
      </c>
      <c r="E13" s="6">
        <f t="shared" si="1"/>
        <v>1500000</v>
      </c>
      <c r="F13" s="6">
        <f t="shared" si="1"/>
        <v>1500000</v>
      </c>
      <c r="G13" s="6">
        <f t="shared" si="1"/>
        <v>1500000</v>
      </c>
      <c r="H13" s="6">
        <f t="shared" si="1"/>
        <v>1500000</v>
      </c>
    </row>
    <row r="14" spans="1:8" ht="17" x14ac:dyDescent="0.2">
      <c r="A14" s="2"/>
      <c r="B14" s="2"/>
      <c r="C14" s="2"/>
      <c r="D14" s="2"/>
      <c r="E14" s="2"/>
      <c r="F14" s="2"/>
      <c r="G14" s="2"/>
      <c r="H14" s="2"/>
    </row>
    <row r="15" spans="1:8" ht="17" x14ac:dyDescent="0.2">
      <c r="A15" s="5" t="s">
        <v>19</v>
      </c>
      <c r="B15" s="2"/>
      <c r="C15" s="2"/>
      <c r="D15" s="2"/>
      <c r="E15" s="2"/>
      <c r="F15" s="2"/>
      <c r="G15" s="2"/>
      <c r="H15" s="2"/>
    </row>
    <row r="16" spans="1:8" ht="17" x14ac:dyDescent="0.2">
      <c r="A16" s="2" t="s">
        <v>1</v>
      </c>
      <c r="B16" s="30">
        <f>Assumptions!B25</f>
        <v>16000000</v>
      </c>
      <c r="C16" s="30">
        <f>Assumptions!C25</f>
        <v>2000000</v>
      </c>
      <c r="D16" s="30">
        <f>Assumptions!D25</f>
        <v>0</v>
      </c>
      <c r="E16" s="30">
        <f>Assumptions!E25</f>
        <v>0</v>
      </c>
      <c r="F16" s="30">
        <f>Assumptions!F25</f>
        <v>0</v>
      </c>
      <c r="G16" s="30">
        <f>Assumptions!G25</f>
        <v>0</v>
      </c>
      <c r="H16" s="30">
        <f>Assumptions!H25</f>
        <v>0</v>
      </c>
    </row>
    <row r="17" spans="1:8" ht="17" x14ac:dyDescent="0.2">
      <c r="A17" s="2" t="s">
        <v>2</v>
      </c>
      <c r="B17" s="4">
        <f>IF(B3=Assumptions!$B$14,-Assumptions!$B$13*(1-Assumptions!$B$4),0)</f>
        <v>0</v>
      </c>
      <c r="C17" s="4">
        <f>IF(C3=Assumptions!$B$14,-Assumptions!$B$13*(1-Assumptions!$B$4),0)</f>
        <v>0</v>
      </c>
      <c r="D17" s="4">
        <f>IF(D3=Assumptions!$B$14,-Assumptions!$B$13*(1-Assumptions!$B$4),0)</f>
        <v>0</v>
      </c>
      <c r="E17" s="4">
        <f>IF(E3=Assumptions!$B$14,-Assumptions!$B$13*(1-Assumptions!$B$4),0)</f>
        <v>0</v>
      </c>
      <c r="F17" s="4">
        <f>IF(F3=Assumptions!$B$14,-Assumptions!$B$13*(1-Assumptions!$B$4),0)</f>
        <v>0</v>
      </c>
      <c r="G17" s="4">
        <f>IF(G3=Assumptions!$B$14,-Assumptions!$B$13*(1-Assumptions!$B$4),0)</f>
        <v>0</v>
      </c>
      <c r="H17" s="4">
        <f>IF(H3=Assumptions!$B$14,-Assumptions!$B$13*(1-Assumptions!$B$4),0)</f>
        <v>-1080000</v>
      </c>
    </row>
    <row r="18" spans="1:8" ht="17" x14ac:dyDescent="0.2">
      <c r="A18" s="3" t="s">
        <v>15</v>
      </c>
      <c r="B18" s="6">
        <f>B16+B17</f>
        <v>16000000</v>
      </c>
      <c r="C18" s="6">
        <f t="shared" ref="C18:H18" si="2">C16+C17</f>
        <v>2000000</v>
      </c>
      <c r="D18" s="6">
        <f t="shared" si="2"/>
        <v>0</v>
      </c>
      <c r="E18" s="6">
        <f t="shared" si="2"/>
        <v>0</v>
      </c>
      <c r="F18" s="6">
        <f t="shared" si="2"/>
        <v>0</v>
      </c>
      <c r="G18" s="6">
        <f t="shared" si="2"/>
        <v>0</v>
      </c>
      <c r="H18" s="6">
        <f t="shared" si="2"/>
        <v>-1080000</v>
      </c>
    </row>
    <row r="19" spans="1:8" ht="17" x14ac:dyDescent="0.2">
      <c r="A19" s="2"/>
      <c r="B19" s="2"/>
      <c r="C19" s="2"/>
      <c r="D19" s="2"/>
      <c r="E19" s="2"/>
      <c r="F19" s="2"/>
      <c r="G19" s="2"/>
      <c r="H19" s="2"/>
    </row>
    <row r="20" spans="1:8" ht="17" x14ac:dyDescent="0.2">
      <c r="A20" s="5" t="s">
        <v>20</v>
      </c>
      <c r="B20" s="2"/>
      <c r="C20" s="2"/>
      <c r="D20" s="2"/>
      <c r="E20" s="2"/>
      <c r="F20" s="2"/>
      <c r="G20" s="2"/>
      <c r="H20" s="2"/>
    </row>
    <row r="21" spans="1:8" ht="17" x14ac:dyDescent="0.2">
      <c r="A21" s="2" t="s">
        <v>13</v>
      </c>
      <c r="B21" s="2"/>
      <c r="C21" s="2"/>
      <c r="D21" s="2"/>
      <c r="E21" s="2"/>
      <c r="F21" s="2"/>
      <c r="G21" s="2"/>
      <c r="H21" s="2"/>
    </row>
    <row r="22" spans="1:8" ht="17" x14ac:dyDescent="0.2">
      <c r="A22" s="2" t="s">
        <v>5</v>
      </c>
      <c r="B22" s="2"/>
      <c r="C22" s="2"/>
      <c r="D22" s="2"/>
      <c r="E22" s="2"/>
      <c r="F22" s="2"/>
      <c r="G22" s="2"/>
      <c r="H22" s="2"/>
    </row>
    <row r="23" spans="1:8" ht="17" x14ac:dyDescent="0.2">
      <c r="A23" s="2" t="s">
        <v>14</v>
      </c>
      <c r="B23" s="2"/>
      <c r="C23" s="2"/>
      <c r="D23" s="2"/>
      <c r="E23" s="2"/>
      <c r="F23" s="2"/>
      <c r="G23" s="2"/>
      <c r="H23" s="2"/>
    </row>
    <row r="24" spans="1:8" ht="17" x14ac:dyDescent="0.2">
      <c r="A24" s="2" t="s">
        <v>27</v>
      </c>
      <c r="B24" s="2"/>
      <c r="C24" s="2"/>
      <c r="D24" s="2"/>
      <c r="E24" s="2"/>
      <c r="F24" s="2"/>
      <c r="G24" s="2"/>
      <c r="H24" s="2"/>
    </row>
    <row r="25" spans="1:8" ht="17" x14ac:dyDescent="0.2">
      <c r="A25" s="2" t="s">
        <v>16</v>
      </c>
      <c r="B25" s="4">
        <f>IF(B3=Assumptions!$B$18,0,Assumptions!$B$8*B6)</f>
        <v>0</v>
      </c>
      <c r="C25" s="4">
        <f>IF(C3=Assumptions!$B$18,0,Assumptions!$B$8*C6)</f>
        <v>400000</v>
      </c>
      <c r="D25" s="4">
        <f>IF(D3=Assumptions!$B$18,0,Assumptions!$B$8*D6)</f>
        <v>1000000</v>
      </c>
      <c r="E25" s="4">
        <f>IF(E3=Assumptions!$B$18,0,Assumptions!$B$8*E6)</f>
        <v>1000000</v>
      </c>
      <c r="F25" s="4">
        <f>IF(F3=Assumptions!$B$18,0,Assumptions!$B$8*F6)</f>
        <v>1000000</v>
      </c>
      <c r="G25" s="4">
        <f>IF(G3=Assumptions!$B$18,0,Assumptions!$B$8*G6)</f>
        <v>1000000</v>
      </c>
      <c r="H25" s="4">
        <f>IF(H3=Assumptions!$B$18,0,Assumptions!$B$8*H6)</f>
        <v>0</v>
      </c>
    </row>
    <row r="26" spans="1:8" ht="17" x14ac:dyDescent="0.2">
      <c r="A26" s="3" t="s">
        <v>17</v>
      </c>
      <c r="B26" s="6">
        <f>B25</f>
        <v>0</v>
      </c>
      <c r="C26" s="6">
        <f>C25-B25</f>
        <v>400000</v>
      </c>
      <c r="D26" s="6">
        <f t="shared" ref="D26:H26" si="3">D25-C25</f>
        <v>600000</v>
      </c>
      <c r="E26" s="6">
        <f t="shared" si="3"/>
        <v>0</v>
      </c>
      <c r="F26" s="6">
        <f t="shared" si="3"/>
        <v>0</v>
      </c>
      <c r="G26" s="6">
        <f t="shared" si="3"/>
        <v>0</v>
      </c>
      <c r="H26" s="6">
        <f t="shared" si="3"/>
        <v>-1000000</v>
      </c>
    </row>
    <row r="27" spans="1:8" ht="17" x14ac:dyDescent="0.2">
      <c r="A27" s="2"/>
      <c r="B27" s="2"/>
      <c r="C27" s="2"/>
      <c r="D27" s="2"/>
      <c r="E27" s="2"/>
      <c r="F27" s="2"/>
      <c r="G27" s="2"/>
      <c r="H27" s="2"/>
    </row>
    <row r="28" spans="1:8" ht="17" x14ac:dyDescent="0.2">
      <c r="A28" s="5" t="s">
        <v>22</v>
      </c>
      <c r="B28" s="2"/>
      <c r="C28" s="2"/>
      <c r="D28" s="2"/>
      <c r="E28" s="2"/>
      <c r="F28" s="2"/>
      <c r="G28" s="2"/>
      <c r="H28" s="2"/>
    </row>
    <row r="29" spans="1:8" ht="17" x14ac:dyDescent="0.2">
      <c r="A29" s="2" t="s">
        <v>6</v>
      </c>
      <c r="B29" s="4">
        <f>B13-B9</f>
        <v>0</v>
      </c>
      <c r="C29" s="4">
        <f t="shared" ref="C29:H29" si="4">C13-C9</f>
        <v>2880000</v>
      </c>
      <c r="D29" s="4">
        <f t="shared" si="4"/>
        <v>4500000</v>
      </c>
      <c r="E29" s="4">
        <f t="shared" si="4"/>
        <v>4500000</v>
      </c>
      <c r="F29" s="4">
        <f t="shared" si="4"/>
        <v>4500000</v>
      </c>
      <c r="G29" s="4">
        <f t="shared" si="4"/>
        <v>4500000</v>
      </c>
      <c r="H29" s="4">
        <f t="shared" si="4"/>
        <v>4500000</v>
      </c>
    </row>
    <row r="30" spans="1:8" ht="17" x14ac:dyDescent="0.2">
      <c r="A30" s="2" t="s">
        <v>9</v>
      </c>
      <c r="B30" s="4">
        <f>B18</f>
        <v>16000000</v>
      </c>
      <c r="C30" s="4">
        <f t="shared" ref="C30:H30" si="5">C18</f>
        <v>2000000</v>
      </c>
      <c r="D30" s="4">
        <f t="shared" si="5"/>
        <v>0</v>
      </c>
      <c r="E30" s="4">
        <f t="shared" si="5"/>
        <v>0</v>
      </c>
      <c r="F30" s="4">
        <f t="shared" si="5"/>
        <v>0</v>
      </c>
      <c r="G30" s="4">
        <f t="shared" si="5"/>
        <v>0</v>
      </c>
      <c r="H30" s="4">
        <f t="shared" si="5"/>
        <v>-1080000</v>
      </c>
    </row>
    <row r="31" spans="1:8" ht="17" x14ac:dyDescent="0.2">
      <c r="A31" s="2" t="s">
        <v>10</v>
      </c>
      <c r="B31" s="4">
        <f>B26</f>
        <v>0</v>
      </c>
      <c r="C31" s="4">
        <f t="shared" ref="C31:H31" si="6">C26</f>
        <v>400000</v>
      </c>
      <c r="D31" s="4">
        <f t="shared" si="6"/>
        <v>600000</v>
      </c>
      <c r="E31" s="4">
        <f t="shared" si="6"/>
        <v>0</v>
      </c>
      <c r="F31" s="4">
        <f t="shared" si="6"/>
        <v>0</v>
      </c>
      <c r="G31" s="4">
        <f t="shared" si="6"/>
        <v>0</v>
      </c>
      <c r="H31" s="4">
        <f t="shared" si="6"/>
        <v>-1000000</v>
      </c>
    </row>
    <row r="32" spans="1:8" ht="17" x14ac:dyDescent="0.2">
      <c r="A32" s="3" t="s">
        <v>21</v>
      </c>
      <c r="B32" s="6">
        <f>B29-B30-B31</f>
        <v>-16000000</v>
      </c>
      <c r="C32" s="6">
        <f t="shared" ref="C32:H32" si="7">C29-C30-C31</f>
        <v>480000</v>
      </c>
      <c r="D32" s="6">
        <f t="shared" si="7"/>
        <v>3900000</v>
      </c>
      <c r="E32" s="6">
        <f t="shared" si="7"/>
        <v>4500000</v>
      </c>
      <c r="F32" s="6">
        <f t="shared" si="7"/>
        <v>4500000</v>
      </c>
      <c r="G32" s="6">
        <f t="shared" si="7"/>
        <v>4500000</v>
      </c>
      <c r="H32" s="6">
        <f t="shared" si="7"/>
        <v>6580000</v>
      </c>
    </row>
    <row r="33" spans="1:8" ht="17" x14ac:dyDescent="0.2">
      <c r="A33" s="2"/>
      <c r="B33" s="2"/>
      <c r="C33" s="2"/>
      <c r="D33" s="2"/>
      <c r="E33" s="2"/>
      <c r="F33" s="2"/>
      <c r="G33" s="2"/>
      <c r="H33" s="2"/>
    </row>
    <row r="34" spans="1:8" ht="17" x14ac:dyDescent="0.2">
      <c r="A34" s="2" t="s">
        <v>7</v>
      </c>
      <c r="B34" s="31">
        <f>Assumptions!B5</f>
        <v>0.08</v>
      </c>
      <c r="C34" s="2"/>
      <c r="D34" s="2"/>
      <c r="E34" s="2"/>
      <c r="F34" s="2"/>
      <c r="G34" s="2"/>
      <c r="H34" s="2"/>
    </row>
    <row r="35" spans="1:8" ht="17" x14ac:dyDescent="0.2">
      <c r="A35" s="3" t="s">
        <v>8</v>
      </c>
      <c r="B35" s="27">
        <f>NPV(B34,C32:H32)+B32</f>
        <v>1877085.7973389179</v>
      </c>
      <c r="C35" s="2"/>
      <c r="D35" s="2"/>
      <c r="E35" s="2"/>
      <c r="F35" s="2"/>
      <c r="G35" s="2"/>
      <c r="H35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zoomScale="95" workbookViewId="0">
      <selection activeCell="A8" sqref="A8"/>
    </sheetView>
  </sheetViews>
  <sheetFormatPr baseColWidth="10" defaultColWidth="8.83203125" defaultRowHeight="14" x14ac:dyDescent="0.15"/>
  <cols>
    <col min="1" max="1" width="42.5" style="1" customWidth="1"/>
    <col min="2" max="2" width="16.5" style="1" bestFit="1" customWidth="1"/>
    <col min="3" max="3" width="12.6640625" style="1" customWidth="1"/>
    <col min="4" max="4" width="12.1640625" style="1" bestFit="1" customWidth="1"/>
    <col min="5" max="8" width="11.83203125" style="1" bestFit="1" customWidth="1"/>
    <col min="9" max="16384" width="8.83203125" style="1"/>
  </cols>
  <sheetData>
    <row r="1" spans="1:9" ht="23" x14ac:dyDescent="0.25">
      <c r="A1" s="62" t="s">
        <v>4</v>
      </c>
      <c r="B1" s="62"/>
      <c r="C1" s="62"/>
      <c r="D1" s="62"/>
      <c r="E1" s="62"/>
    </row>
    <row r="2" spans="1:9" s="2" customFormat="1" ht="32.25" customHeight="1" x14ac:dyDescent="0.2"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</row>
    <row r="3" spans="1:9" s="2" customFormat="1" ht="17" x14ac:dyDescent="0.2">
      <c r="A3" s="3" t="s">
        <v>0</v>
      </c>
      <c r="B3" s="9">
        <v>0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/>
    </row>
    <row r="4" spans="1:9" s="2" customFormat="1" ht="6.5" customHeight="1" x14ac:dyDescent="0.2"/>
    <row r="5" spans="1:9" s="2" customFormat="1" ht="17" x14ac:dyDescent="0.2">
      <c r="A5" s="5" t="s">
        <v>18</v>
      </c>
    </row>
    <row r="6" spans="1:9" s="2" customFormat="1" ht="17" x14ac:dyDescent="0.2">
      <c r="A6" s="2" t="s">
        <v>11</v>
      </c>
      <c r="C6" s="4">
        <v>4000000</v>
      </c>
      <c r="D6" s="4">
        <v>10000000</v>
      </c>
      <c r="E6" s="4">
        <v>10000000</v>
      </c>
      <c r="F6" s="4">
        <v>10000000</v>
      </c>
      <c r="G6" s="4">
        <v>10000000</v>
      </c>
      <c r="H6" s="4">
        <v>10000000</v>
      </c>
    </row>
    <row r="7" spans="1:9" s="2" customFormat="1" ht="17" x14ac:dyDescent="0.2">
      <c r="A7" s="2" t="s">
        <v>23</v>
      </c>
      <c r="C7" s="4">
        <f>-0.75*C6</f>
        <v>-3000000</v>
      </c>
      <c r="D7" s="4">
        <f t="shared" ref="D7:H7" si="0">-0.75*D6</f>
        <v>-7500000</v>
      </c>
      <c r="E7" s="4">
        <f t="shared" si="0"/>
        <v>-7500000</v>
      </c>
      <c r="F7" s="4">
        <f t="shared" si="0"/>
        <v>-7500000</v>
      </c>
      <c r="G7" s="4">
        <f t="shared" si="0"/>
        <v>-7500000</v>
      </c>
      <c r="H7" s="4">
        <f t="shared" si="0"/>
        <v>-7500000</v>
      </c>
    </row>
    <row r="8" spans="1:9" s="2" customFormat="1" ht="17" x14ac:dyDescent="0.2">
      <c r="A8" s="2" t="s">
        <v>24</v>
      </c>
      <c r="C8" s="4">
        <f>-0.05*C6</f>
        <v>-200000</v>
      </c>
      <c r="D8" s="4">
        <f t="shared" ref="D8:H8" si="1">-0.05*D6</f>
        <v>-500000</v>
      </c>
      <c r="E8" s="4">
        <f t="shared" si="1"/>
        <v>-500000</v>
      </c>
      <c r="F8" s="4">
        <f t="shared" si="1"/>
        <v>-500000</v>
      </c>
      <c r="G8" s="4">
        <f t="shared" si="1"/>
        <v>-500000</v>
      </c>
      <c r="H8" s="4">
        <f t="shared" si="1"/>
        <v>-500000</v>
      </c>
    </row>
    <row r="9" spans="1:9" s="2" customFormat="1" ht="17" x14ac:dyDescent="0.2">
      <c r="A9" s="2" t="s">
        <v>25</v>
      </c>
      <c r="C9" s="4">
        <f>-18000000/6</f>
        <v>-3000000</v>
      </c>
      <c r="D9" s="4">
        <f t="shared" ref="D9:H9" si="2">-18000000/6</f>
        <v>-3000000</v>
      </c>
      <c r="E9" s="4">
        <f t="shared" si="2"/>
        <v>-3000000</v>
      </c>
      <c r="F9" s="4">
        <f t="shared" si="2"/>
        <v>-3000000</v>
      </c>
      <c r="G9" s="4">
        <f t="shared" si="2"/>
        <v>-3000000</v>
      </c>
      <c r="H9" s="4">
        <f t="shared" si="2"/>
        <v>-3000000</v>
      </c>
    </row>
    <row r="10" spans="1:9" s="2" customFormat="1" ht="17" x14ac:dyDescent="0.2">
      <c r="A10" s="2" t="s">
        <v>31</v>
      </c>
      <c r="C10" s="4">
        <v>2000000</v>
      </c>
      <c r="D10" s="4">
        <v>3500000</v>
      </c>
      <c r="E10" s="4">
        <v>3500000</v>
      </c>
      <c r="F10" s="4">
        <v>3500000</v>
      </c>
      <c r="G10" s="4">
        <v>3500000</v>
      </c>
      <c r="H10" s="4">
        <v>3500000</v>
      </c>
    </row>
    <row r="11" spans="1:9" s="2" customFormat="1" ht="17" x14ac:dyDescent="0.2">
      <c r="A11" s="2" t="s">
        <v>3</v>
      </c>
      <c r="B11" s="2">
        <f>SUM(B6:B10)</f>
        <v>0</v>
      </c>
      <c r="C11" s="4">
        <f>SUM(C6:C10)</f>
        <v>-200000</v>
      </c>
      <c r="D11" s="2">
        <f t="shared" ref="D11:H11" si="3">SUM(D6:D10)</f>
        <v>2500000</v>
      </c>
      <c r="E11" s="2">
        <f t="shared" si="3"/>
        <v>2500000</v>
      </c>
      <c r="F11" s="2">
        <f t="shared" si="3"/>
        <v>2500000</v>
      </c>
      <c r="G11" s="2">
        <f t="shared" si="3"/>
        <v>2500000</v>
      </c>
      <c r="H11" s="2">
        <f t="shared" si="3"/>
        <v>2500000</v>
      </c>
    </row>
    <row r="12" spans="1:9" s="2" customFormat="1" ht="17" x14ac:dyDescent="0.2">
      <c r="A12" s="2" t="s">
        <v>32</v>
      </c>
      <c r="B12" s="2">
        <f>B11*0.4</f>
        <v>0</v>
      </c>
      <c r="C12" s="2">
        <f>C11*0.4</f>
        <v>-80000</v>
      </c>
      <c r="D12" s="2">
        <f t="shared" ref="D12:H12" si="4">D11*0.4</f>
        <v>1000000</v>
      </c>
      <c r="E12" s="2">
        <f t="shared" si="4"/>
        <v>1000000</v>
      </c>
      <c r="F12" s="2">
        <f t="shared" si="4"/>
        <v>1000000</v>
      </c>
      <c r="G12" s="2">
        <f t="shared" si="4"/>
        <v>1000000</v>
      </c>
      <c r="H12" s="2">
        <f t="shared" si="4"/>
        <v>1000000</v>
      </c>
    </row>
    <row r="13" spans="1:9" s="2" customFormat="1" ht="17" x14ac:dyDescent="0.2">
      <c r="A13" s="3" t="s">
        <v>12</v>
      </c>
      <c r="B13" s="2">
        <f>B11-B12</f>
        <v>0</v>
      </c>
      <c r="C13" s="4">
        <f>C11-C12</f>
        <v>-120000</v>
      </c>
      <c r="D13" s="4">
        <f t="shared" ref="D13:H13" si="5">D11-D12</f>
        <v>1500000</v>
      </c>
      <c r="E13" s="4">
        <f t="shared" si="5"/>
        <v>1500000</v>
      </c>
      <c r="F13" s="4">
        <f t="shared" si="5"/>
        <v>1500000</v>
      </c>
      <c r="G13" s="4">
        <f t="shared" si="5"/>
        <v>1500000</v>
      </c>
      <c r="H13" s="4">
        <f t="shared" si="5"/>
        <v>1500000</v>
      </c>
    </row>
    <row r="14" spans="1:9" s="2" customFormat="1" ht="23" customHeight="1" x14ac:dyDescent="0.2"/>
    <row r="15" spans="1:9" s="2" customFormat="1" ht="17" x14ac:dyDescent="0.2">
      <c r="A15" s="5" t="s">
        <v>19</v>
      </c>
    </row>
    <row r="16" spans="1:9" s="2" customFormat="1" ht="17" x14ac:dyDescent="0.2">
      <c r="A16" s="2" t="s">
        <v>1</v>
      </c>
      <c r="B16" s="4">
        <v>16000000</v>
      </c>
      <c r="C16" s="4">
        <v>2000000</v>
      </c>
      <c r="D16" s="2">
        <v>0</v>
      </c>
      <c r="E16" s="2">
        <v>0</v>
      </c>
      <c r="F16" s="2">
        <v>0</v>
      </c>
      <c r="G16" s="2">
        <v>0</v>
      </c>
    </row>
    <row r="17" spans="1:8" s="2" customFormat="1" ht="17" x14ac:dyDescent="0.2">
      <c r="A17" s="2" t="s">
        <v>2</v>
      </c>
      <c r="E17" s="4"/>
      <c r="H17" s="2">
        <f>-1800000*0.6</f>
        <v>-1080000</v>
      </c>
    </row>
    <row r="18" spans="1:8" s="2" customFormat="1" ht="17" x14ac:dyDescent="0.2">
      <c r="A18" s="3" t="s">
        <v>15</v>
      </c>
      <c r="B18" s="4"/>
      <c r="C18" s="4"/>
      <c r="D18" s="4"/>
      <c r="E18" s="4"/>
    </row>
    <row r="19" spans="1:8" s="2" customFormat="1" ht="20" customHeight="1" x14ac:dyDescent="0.2"/>
    <row r="20" spans="1:8" s="2" customFormat="1" ht="17" x14ac:dyDescent="0.2">
      <c r="A20" s="5" t="s">
        <v>20</v>
      </c>
      <c r="B20" s="4"/>
    </row>
    <row r="21" spans="1:8" s="2" customFormat="1" ht="17" x14ac:dyDescent="0.2">
      <c r="A21" s="2" t="s">
        <v>13</v>
      </c>
    </row>
    <row r="22" spans="1:8" s="2" customFormat="1" ht="17" x14ac:dyDescent="0.2">
      <c r="A22" s="2" t="s">
        <v>5</v>
      </c>
      <c r="B22" s="4"/>
      <c r="C22" s="4"/>
      <c r="D22" s="4"/>
      <c r="E22" s="4"/>
    </row>
    <row r="23" spans="1:8" s="2" customFormat="1" ht="17" x14ac:dyDescent="0.2">
      <c r="A23" s="2" t="s">
        <v>14</v>
      </c>
    </row>
    <row r="24" spans="1:8" s="2" customFormat="1" ht="17" x14ac:dyDescent="0.2">
      <c r="A24" s="2" t="s">
        <v>27</v>
      </c>
      <c r="B24" s="4"/>
    </row>
    <row r="25" spans="1:8" s="2" customFormat="1" ht="17" x14ac:dyDescent="0.2">
      <c r="A25" s="2" t="s">
        <v>16</v>
      </c>
      <c r="B25" s="4">
        <f>0.1*B6</f>
        <v>0</v>
      </c>
      <c r="C25" s="4">
        <f t="shared" ref="C25:G25" si="6">0.1*C6</f>
        <v>400000</v>
      </c>
      <c r="D25" s="4">
        <f t="shared" si="6"/>
        <v>1000000</v>
      </c>
      <c r="E25" s="4">
        <f t="shared" si="6"/>
        <v>1000000</v>
      </c>
      <c r="F25" s="4">
        <f t="shared" si="6"/>
        <v>1000000</v>
      </c>
      <c r="G25" s="4">
        <f t="shared" si="6"/>
        <v>1000000</v>
      </c>
      <c r="H25" s="4">
        <v>0</v>
      </c>
    </row>
    <row r="26" spans="1:8" s="2" customFormat="1" ht="17" x14ac:dyDescent="0.2">
      <c r="A26" s="3" t="s">
        <v>17</v>
      </c>
      <c r="B26" s="4">
        <v>0</v>
      </c>
      <c r="C26" s="4">
        <f>C25</f>
        <v>400000</v>
      </c>
      <c r="D26" s="4">
        <f>D25-C25</f>
        <v>600000</v>
      </c>
      <c r="E26" s="4">
        <f t="shared" ref="E26:H26" si="7">E25-D25</f>
        <v>0</v>
      </c>
      <c r="F26" s="4">
        <f t="shared" si="7"/>
        <v>0</v>
      </c>
      <c r="G26" s="4">
        <f t="shared" si="7"/>
        <v>0</v>
      </c>
      <c r="H26" s="4">
        <f t="shared" si="7"/>
        <v>-1000000</v>
      </c>
    </row>
    <row r="27" spans="1:8" s="2" customFormat="1" ht="20" customHeight="1" x14ac:dyDescent="0.2"/>
    <row r="28" spans="1:8" s="2" customFormat="1" ht="17" x14ac:dyDescent="0.2">
      <c r="A28" s="5" t="s">
        <v>22</v>
      </c>
    </row>
    <row r="29" spans="1:8" s="2" customFormat="1" ht="17" x14ac:dyDescent="0.2">
      <c r="A29" s="2" t="s">
        <v>6</v>
      </c>
      <c r="C29" s="4">
        <f>C13-C9</f>
        <v>2880000</v>
      </c>
      <c r="D29" s="4">
        <f t="shared" ref="D29:H29" si="8">D13-D9</f>
        <v>4500000</v>
      </c>
      <c r="E29" s="4">
        <f t="shared" si="8"/>
        <v>4500000</v>
      </c>
      <c r="F29" s="4">
        <f t="shared" si="8"/>
        <v>4500000</v>
      </c>
      <c r="G29" s="4">
        <f t="shared" si="8"/>
        <v>4500000</v>
      </c>
      <c r="H29" s="4">
        <f t="shared" si="8"/>
        <v>4500000</v>
      </c>
    </row>
    <row r="30" spans="1:8" s="2" customFormat="1" ht="17" x14ac:dyDescent="0.2">
      <c r="A30" s="2" t="s">
        <v>9</v>
      </c>
      <c r="B30" s="4">
        <v>16000000</v>
      </c>
      <c r="C30" s="4">
        <v>2000000</v>
      </c>
      <c r="D30" s="4">
        <v>0</v>
      </c>
      <c r="E30" s="4">
        <v>0</v>
      </c>
      <c r="F30" s="2">
        <v>0</v>
      </c>
      <c r="G30" s="2">
        <v>0</v>
      </c>
      <c r="H30" s="2">
        <f>H17</f>
        <v>-1080000</v>
      </c>
    </row>
    <row r="31" spans="1:8" s="2" customFormat="1" ht="17" x14ac:dyDescent="0.2">
      <c r="A31" s="2" t="s">
        <v>10</v>
      </c>
      <c r="B31" s="4">
        <v>0</v>
      </c>
      <c r="C31" s="4" cm="1">
        <f t="array" ref="C31:H31">C26:H26</f>
        <v>400000</v>
      </c>
      <c r="D31" s="4">
        <v>600000</v>
      </c>
      <c r="E31" s="4">
        <v>0</v>
      </c>
      <c r="F31" s="2">
        <v>0</v>
      </c>
      <c r="G31" s="2">
        <v>0</v>
      </c>
      <c r="H31" s="2">
        <v>-1000000</v>
      </c>
    </row>
    <row r="32" spans="1:8" s="2" customFormat="1" ht="17" x14ac:dyDescent="0.2">
      <c r="A32" s="3" t="s">
        <v>21</v>
      </c>
      <c r="B32" s="6">
        <f>B29-B30-B31</f>
        <v>-16000000</v>
      </c>
      <c r="C32" s="6">
        <f t="shared" ref="C32:G32" si="9">C29-C30-C31</f>
        <v>480000</v>
      </c>
      <c r="D32" s="6">
        <f t="shared" si="9"/>
        <v>3900000</v>
      </c>
      <c r="E32" s="6">
        <f t="shared" si="9"/>
        <v>4500000</v>
      </c>
      <c r="F32" s="6">
        <f t="shared" si="9"/>
        <v>4500000</v>
      </c>
      <c r="G32" s="6">
        <f t="shared" si="9"/>
        <v>4500000</v>
      </c>
      <c r="H32" s="6">
        <f>H29-H30-H31</f>
        <v>6580000</v>
      </c>
    </row>
    <row r="33" spans="1:2" s="2" customFormat="1" ht="34.5" customHeight="1" x14ac:dyDescent="0.2"/>
    <row r="34" spans="1:2" s="2" customFormat="1" ht="17" x14ac:dyDescent="0.2">
      <c r="A34" s="2" t="s">
        <v>7</v>
      </c>
      <c r="B34" s="7">
        <v>0.08</v>
      </c>
    </row>
    <row r="35" spans="1:2" s="2" customFormat="1" ht="17" x14ac:dyDescent="0.2">
      <c r="A35" s="3" t="s">
        <v>8</v>
      </c>
      <c r="B35" s="8">
        <f>NPV(8%,C32:H32)+B32</f>
        <v>1877085.7973389179</v>
      </c>
    </row>
    <row r="37" spans="1:2" x14ac:dyDescent="0.15">
      <c r="A37" s="1" t="s">
        <v>33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2AA9-7250-784E-80EA-CC2814911B5D}">
  <dimension ref="A1:E24"/>
  <sheetViews>
    <sheetView workbookViewId="0">
      <selection activeCell="E4" sqref="E4"/>
    </sheetView>
  </sheetViews>
  <sheetFormatPr baseColWidth="10" defaultRowHeight="13" x14ac:dyDescent="0.15"/>
  <cols>
    <col min="1" max="1" width="35" customWidth="1"/>
    <col min="2" max="5" width="13.33203125" customWidth="1"/>
  </cols>
  <sheetData>
    <row r="1" spans="1:5" ht="20" x14ac:dyDescent="0.2">
      <c r="A1" s="18" t="s">
        <v>57</v>
      </c>
      <c r="B1" s="1"/>
      <c r="C1" s="1"/>
      <c r="D1" s="1"/>
      <c r="E1" s="1"/>
    </row>
    <row r="2" spans="1:5" ht="14" x14ac:dyDescent="0.15">
      <c r="A2" s="32" t="s">
        <v>58</v>
      </c>
      <c r="B2" s="1"/>
      <c r="C2" s="1"/>
      <c r="D2" s="1"/>
      <c r="E2" s="1"/>
    </row>
    <row r="3" spans="1:5" ht="14" x14ac:dyDescent="0.15">
      <c r="A3" s="1"/>
      <c r="B3" s="1"/>
      <c r="C3" s="1"/>
      <c r="D3" s="1"/>
      <c r="E3" s="1" t="s">
        <v>72</v>
      </c>
    </row>
    <row r="4" spans="1:5" ht="15" thickBot="1" x14ac:dyDescent="0.2">
      <c r="A4" s="34" t="s">
        <v>59</v>
      </c>
      <c r="B4" s="40" t="s">
        <v>60</v>
      </c>
      <c r="C4" s="33" t="s">
        <v>61</v>
      </c>
      <c r="D4" s="49" t="s">
        <v>62</v>
      </c>
      <c r="E4" s="33" t="s">
        <v>63</v>
      </c>
    </row>
    <row r="5" spans="1:5" ht="14" x14ac:dyDescent="0.15">
      <c r="A5" s="1"/>
      <c r="B5" s="41"/>
      <c r="C5" s="1"/>
      <c r="D5" s="50"/>
      <c r="E5" s="1"/>
    </row>
    <row r="6" spans="1:5" ht="14" x14ac:dyDescent="0.15">
      <c r="A6" s="35" t="s">
        <v>64</v>
      </c>
      <c r="B6" s="42">
        <v>0.8</v>
      </c>
      <c r="C6" s="43">
        <f>Assumptions!B6</f>
        <v>0.75</v>
      </c>
      <c r="D6" s="51">
        <v>0.7</v>
      </c>
      <c r="E6" s="37">
        <v>0.82699999999999996</v>
      </c>
    </row>
    <row r="7" spans="1:5" ht="14" x14ac:dyDescent="0.15">
      <c r="A7" s="55" t="s">
        <v>65</v>
      </c>
      <c r="B7" s="56">
        <v>657</v>
      </c>
      <c r="C7" s="57">
        <f>ProForma!$B$35/1000</f>
        <v>1877.0857973389179</v>
      </c>
      <c r="D7" s="58">
        <v>3097</v>
      </c>
      <c r="E7" s="59"/>
    </row>
    <row r="8" spans="1:5" ht="14" x14ac:dyDescent="0.15">
      <c r="A8" s="1"/>
      <c r="B8" s="45"/>
      <c r="C8" s="39"/>
      <c r="D8" s="52"/>
      <c r="E8" s="39"/>
    </row>
    <row r="9" spans="1:5" ht="14" x14ac:dyDescent="0.15">
      <c r="A9" s="35" t="s">
        <v>66</v>
      </c>
      <c r="B9" s="46">
        <v>7.4999999999999997E-2</v>
      </c>
      <c r="C9" s="47">
        <f>Assumptions!B7</f>
        <v>0.05</v>
      </c>
      <c r="D9" s="53">
        <v>2.5000000000000001E-2</v>
      </c>
      <c r="E9" s="37">
        <v>0.127</v>
      </c>
    </row>
    <row r="10" spans="1:5" ht="14" x14ac:dyDescent="0.15">
      <c r="A10" s="55" t="s">
        <v>65</v>
      </c>
      <c r="B10" s="56">
        <v>1267</v>
      </c>
      <c r="C10" s="57">
        <f>ProForma!$B$35/1000</f>
        <v>1877.0857973389179</v>
      </c>
      <c r="D10" s="58">
        <v>2487</v>
      </c>
      <c r="E10" s="59"/>
    </row>
    <row r="11" spans="1:5" ht="14" x14ac:dyDescent="0.15">
      <c r="A11" s="1"/>
      <c r="B11" s="45"/>
      <c r="C11" s="39"/>
      <c r="D11" s="52"/>
      <c r="E11" s="39"/>
    </row>
    <row r="12" spans="1:5" ht="14" x14ac:dyDescent="0.15">
      <c r="A12" s="35" t="s">
        <v>67</v>
      </c>
      <c r="B12" s="46">
        <v>-0.02</v>
      </c>
      <c r="C12" s="37">
        <v>0</v>
      </c>
      <c r="D12" s="53">
        <v>0.02</v>
      </c>
      <c r="E12" s="37">
        <v>-9.1999999999999998E-2</v>
      </c>
    </row>
    <row r="13" spans="1:5" ht="14" x14ac:dyDescent="0.15">
      <c r="A13" s="55" t="s">
        <v>65</v>
      </c>
      <c r="B13" s="56">
        <v>1441</v>
      </c>
      <c r="C13" s="57">
        <f>ProForma!$B$35/1000</f>
        <v>1877.0857973389179</v>
      </c>
      <c r="D13" s="58">
        <v>2330</v>
      </c>
      <c r="E13" s="59"/>
    </row>
    <row r="14" spans="1:5" ht="14" x14ac:dyDescent="0.15">
      <c r="A14" s="1"/>
      <c r="B14" s="45"/>
      <c r="C14" s="39"/>
      <c r="D14" s="52"/>
      <c r="E14" s="39"/>
    </row>
    <row r="15" spans="1:5" ht="14" x14ac:dyDescent="0.15">
      <c r="A15" s="35" t="s">
        <v>68</v>
      </c>
      <c r="B15" s="42">
        <v>0.15</v>
      </c>
      <c r="C15" s="43">
        <f>Assumptions!B8</f>
        <v>0.1</v>
      </c>
      <c r="D15" s="51">
        <v>0.05</v>
      </c>
      <c r="E15" s="36">
        <v>6.94</v>
      </c>
    </row>
    <row r="16" spans="1:5" ht="14" x14ac:dyDescent="0.15">
      <c r="A16" s="55" t="s">
        <v>65</v>
      </c>
      <c r="B16" s="56">
        <v>1863</v>
      </c>
      <c r="C16" s="57">
        <f>ProForma!$B$35/1000</f>
        <v>1877.0857973389179</v>
      </c>
      <c r="D16" s="58">
        <v>1891</v>
      </c>
      <c r="E16" s="59"/>
    </row>
    <row r="17" spans="1:5" ht="14" x14ac:dyDescent="0.15">
      <c r="A17" s="1"/>
      <c r="B17" s="45"/>
      <c r="C17" s="39"/>
      <c r="D17" s="52"/>
      <c r="E17" s="39"/>
    </row>
    <row r="18" spans="1:5" ht="14" x14ac:dyDescent="0.15">
      <c r="A18" s="35" t="s">
        <v>69</v>
      </c>
      <c r="B18" s="48">
        <v>4000</v>
      </c>
      <c r="C18" s="44">
        <f>Assumptions!C25/1000</f>
        <v>2000</v>
      </c>
      <c r="D18" s="54">
        <v>1500</v>
      </c>
      <c r="E18" s="38">
        <v>5237</v>
      </c>
    </row>
    <row r="19" spans="1:5" ht="14" x14ac:dyDescent="0.15">
      <c r="A19" s="55" t="s">
        <v>65</v>
      </c>
      <c r="B19" s="56">
        <v>717</v>
      </c>
      <c r="C19" s="57">
        <f>ProForma!$B$35/1000</f>
        <v>1877.0857973389179</v>
      </c>
      <c r="D19" s="58">
        <v>2167</v>
      </c>
      <c r="E19" s="59"/>
    </row>
    <row r="20" spans="1:5" ht="14" x14ac:dyDescent="0.15">
      <c r="A20" s="1"/>
      <c r="B20" s="45"/>
      <c r="C20" s="39"/>
      <c r="D20" s="52"/>
      <c r="E20" s="39"/>
    </row>
    <row r="21" spans="1:5" ht="14" x14ac:dyDescent="0.15">
      <c r="A21" s="35" t="s">
        <v>70</v>
      </c>
      <c r="B21" s="48">
        <v>8000</v>
      </c>
      <c r="C21" s="44">
        <f>Assumptions!D23/1000</f>
        <v>10000</v>
      </c>
      <c r="D21" s="54">
        <v>12000</v>
      </c>
      <c r="E21" s="38">
        <v>5540</v>
      </c>
    </row>
    <row r="22" spans="1:5" ht="14" x14ac:dyDescent="0.15">
      <c r="A22" s="55" t="s">
        <v>65</v>
      </c>
      <c r="B22" s="56">
        <v>1035</v>
      </c>
      <c r="C22" s="57">
        <f>ProForma!$B$35/1000</f>
        <v>1877.0857973389179</v>
      </c>
      <c r="D22" s="58">
        <v>2719</v>
      </c>
      <c r="E22" s="59"/>
    </row>
    <row r="23" spans="1:5" ht="14" x14ac:dyDescent="0.15">
      <c r="A23" s="1"/>
      <c r="B23" s="1"/>
      <c r="C23" s="1"/>
      <c r="D23" s="1"/>
      <c r="E23" s="1"/>
    </row>
    <row r="24" spans="1:5" ht="14" x14ac:dyDescent="0.15">
      <c r="A24" s="60" t="s">
        <v>71</v>
      </c>
      <c r="B24" s="1"/>
      <c r="C24" s="1"/>
      <c r="D24" s="1"/>
      <c r="E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opLeftCell="A26" zoomScale="150" workbookViewId="0">
      <selection activeCell="A36" sqref="A36:G44"/>
    </sheetView>
  </sheetViews>
  <sheetFormatPr baseColWidth="10" defaultColWidth="8.83203125" defaultRowHeight="14" x14ac:dyDescent="0.15"/>
  <cols>
    <col min="1" max="1" width="39.83203125" style="1" customWidth="1"/>
    <col min="2" max="2" width="14.5" style="1" customWidth="1"/>
    <col min="3" max="3" width="12.6640625" style="1" customWidth="1"/>
    <col min="4" max="4" width="11.5" style="1" customWidth="1"/>
    <col min="5" max="5" width="11.6640625" style="1" customWidth="1"/>
    <col min="6" max="16384" width="8.83203125" style="1"/>
  </cols>
  <sheetData>
    <row r="1" spans="1:5" ht="23" x14ac:dyDescent="0.25">
      <c r="A1" s="62" t="s">
        <v>4</v>
      </c>
      <c r="B1" s="62"/>
      <c r="C1" s="62"/>
      <c r="D1" s="62"/>
      <c r="E1" s="62"/>
    </row>
    <row r="2" spans="1:5" s="2" customFormat="1" ht="32.25" customHeight="1" x14ac:dyDescent="0.2"/>
    <row r="3" spans="1:5" s="2" customFormat="1" ht="17" x14ac:dyDescent="0.2">
      <c r="A3" s="3" t="s">
        <v>0</v>
      </c>
      <c r="B3" s="9">
        <v>0</v>
      </c>
      <c r="C3" s="9">
        <v>1</v>
      </c>
      <c r="D3" s="9">
        <v>2</v>
      </c>
      <c r="E3" s="9">
        <v>3</v>
      </c>
    </row>
    <row r="4" spans="1:5" s="2" customFormat="1" ht="6.5" customHeight="1" x14ac:dyDescent="0.2"/>
    <row r="5" spans="1:5" s="2" customFormat="1" ht="17" x14ac:dyDescent="0.2">
      <c r="A5" s="5" t="s">
        <v>18</v>
      </c>
    </row>
    <row r="6" spans="1:5" s="2" customFormat="1" ht="17" x14ac:dyDescent="0.2">
      <c r="A6" s="2" t="s">
        <v>11</v>
      </c>
      <c r="C6" s="4">
        <v>195000</v>
      </c>
      <c r="D6" s="4">
        <v>225000</v>
      </c>
      <c r="E6" s="4">
        <v>250000</v>
      </c>
    </row>
    <row r="7" spans="1:5" s="2" customFormat="1" ht="17" x14ac:dyDescent="0.2">
      <c r="A7" s="2" t="s">
        <v>23</v>
      </c>
      <c r="C7" s="4">
        <f>-0.5*C6</f>
        <v>-97500</v>
      </c>
      <c r="D7" s="4">
        <f>-0.5*D6</f>
        <v>-112500</v>
      </c>
      <c r="E7" s="4">
        <f>-0.5*E6</f>
        <v>-125000</v>
      </c>
    </row>
    <row r="8" spans="1:5" s="2" customFormat="1" ht="17" x14ac:dyDescent="0.2">
      <c r="A8" s="2" t="s">
        <v>24</v>
      </c>
      <c r="C8" s="4">
        <v>-50000</v>
      </c>
      <c r="D8" s="4">
        <v>-50000</v>
      </c>
      <c r="E8" s="4">
        <v>-50000</v>
      </c>
    </row>
    <row r="9" spans="1:5" s="2" customFormat="1" ht="17" x14ac:dyDescent="0.2">
      <c r="A9" s="2" t="s">
        <v>25</v>
      </c>
      <c r="C9" s="4">
        <f>-90000/3</f>
        <v>-30000</v>
      </c>
      <c r="D9" s="4">
        <f>-90000/3</f>
        <v>-30000</v>
      </c>
      <c r="E9" s="4">
        <f>-90000/3</f>
        <v>-30000</v>
      </c>
    </row>
    <row r="10" spans="1:5" s="2" customFormat="1" ht="17" x14ac:dyDescent="0.2">
      <c r="A10" s="2" t="s">
        <v>3</v>
      </c>
      <c r="C10" s="4">
        <f>SUM(C6:C9)</f>
        <v>17500</v>
      </c>
      <c r="D10" s="4">
        <f t="shared" ref="D10:E10" si="0">SUM(D6:D9)</f>
        <v>32500</v>
      </c>
      <c r="E10" s="4">
        <f t="shared" si="0"/>
        <v>45000</v>
      </c>
    </row>
    <row r="11" spans="1:5" s="2" customFormat="1" ht="17" x14ac:dyDescent="0.2">
      <c r="A11" s="2" t="s">
        <v>26</v>
      </c>
      <c r="C11" s="4">
        <f>-C10*0.25</f>
        <v>-4375</v>
      </c>
      <c r="D11" s="4">
        <f t="shared" ref="D11:E11" si="1">-D10*0.25</f>
        <v>-8125</v>
      </c>
      <c r="E11" s="4">
        <f t="shared" si="1"/>
        <v>-11250</v>
      </c>
    </row>
    <row r="12" spans="1:5" s="2" customFormat="1" ht="17" x14ac:dyDescent="0.2">
      <c r="A12" s="3" t="s">
        <v>12</v>
      </c>
      <c r="C12" s="4">
        <f>SUM(C10:C11)</f>
        <v>13125</v>
      </c>
      <c r="D12" s="4">
        <f t="shared" ref="D12:E12" si="2">SUM(D10:D11)</f>
        <v>24375</v>
      </c>
      <c r="E12" s="4">
        <f t="shared" si="2"/>
        <v>33750</v>
      </c>
    </row>
    <row r="13" spans="1:5" s="2" customFormat="1" ht="23" customHeight="1" x14ac:dyDescent="0.2"/>
    <row r="14" spans="1:5" s="2" customFormat="1" ht="17" x14ac:dyDescent="0.2">
      <c r="A14" s="5" t="s">
        <v>19</v>
      </c>
    </row>
    <row r="15" spans="1:5" s="2" customFormat="1" ht="17" x14ac:dyDescent="0.2">
      <c r="A15" s="2" t="s">
        <v>1</v>
      </c>
      <c r="B15" s="4">
        <v>90000</v>
      </c>
    </row>
    <row r="16" spans="1:5" s="2" customFormat="1" ht="17" x14ac:dyDescent="0.2">
      <c r="A16" s="2" t="s">
        <v>2</v>
      </c>
      <c r="E16" s="4">
        <f>-(10000-0.25*(10000))</f>
        <v>-7500</v>
      </c>
    </row>
    <row r="17" spans="1:5" s="2" customFormat="1" ht="17" x14ac:dyDescent="0.2">
      <c r="A17" s="3" t="s">
        <v>15</v>
      </c>
      <c r="B17" s="4">
        <f>B15+B16</f>
        <v>90000</v>
      </c>
      <c r="C17" s="4">
        <f>C15+C16</f>
        <v>0</v>
      </c>
      <c r="D17" s="4">
        <f>D15+D16</f>
        <v>0</v>
      </c>
      <c r="E17" s="4">
        <f>E15+E16</f>
        <v>-7500</v>
      </c>
    </row>
    <row r="18" spans="1:5" s="2" customFormat="1" ht="20" customHeight="1" x14ac:dyDescent="0.2"/>
    <row r="19" spans="1:5" s="2" customFormat="1" ht="17" x14ac:dyDescent="0.2">
      <c r="A19" s="5" t="s">
        <v>20</v>
      </c>
    </row>
    <row r="20" spans="1:5" s="2" customFormat="1" ht="17" x14ac:dyDescent="0.2">
      <c r="A20" s="2" t="s">
        <v>13</v>
      </c>
      <c r="B20" s="2">
        <v>0</v>
      </c>
      <c r="C20" s="2">
        <v>0</v>
      </c>
      <c r="D20" s="2">
        <v>0</v>
      </c>
      <c r="E20" s="2">
        <v>0</v>
      </c>
    </row>
    <row r="21" spans="1:5" s="2" customFormat="1" ht="17" x14ac:dyDescent="0.2">
      <c r="A21" s="2" t="s">
        <v>5</v>
      </c>
      <c r="B21" s="4">
        <v>30000</v>
      </c>
      <c r="C21" s="4">
        <f>0.2*C6</f>
        <v>39000</v>
      </c>
      <c r="D21" s="4">
        <f>0.2*D6</f>
        <v>45000</v>
      </c>
      <c r="E21" s="4">
        <v>0</v>
      </c>
    </row>
    <row r="22" spans="1:5" s="2" customFormat="1" ht="17" x14ac:dyDescent="0.2">
      <c r="A22" s="2" t="s">
        <v>14</v>
      </c>
      <c r="B22" s="2">
        <v>0</v>
      </c>
      <c r="C22" s="2">
        <v>0</v>
      </c>
      <c r="D22" s="2">
        <v>0</v>
      </c>
      <c r="E22" s="2">
        <v>0</v>
      </c>
    </row>
    <row r="23" spans="1:5" s="2" customFormat="1" ht="17" x14ac:dyDescent="0.2">
      <c r="A23" s="2" t="s">
        <v>27</v>
      </c>
      <c r="B23" s="4">
        <f>-15000</f>
        <v>-15000</v>
      </c>
      <c r="C23" s="2">
        <f>0.1*C7</f>
        <v>-9750</v>
      </c>
      <c r="D23" s="2">
        <f>0.1*D7</f>
        <v>-11250</v>
      </c>
      <c r="E23" s="2">
        <v>0</v>
      </c>
    </row>
    <row r="24" spans="1:5" s="2" customFormat="1" ht="17" x14ac:dyDescent="0.2">
      <c r="A24" s="2" t="s">
        <v>16</v>
      </c>
      <c r="B24" s="4">
        <f>SUM(B20:B23)</f>
        <v>15000</v>
      </c>
      <c r="C24" s="4">
        <f t="shared" ref="C24:D24" si="3">SUM(C20:C23)</f>
        <v>29250</v>
      </c>
      <c r="D24" s="4">
        <f t="shared" si="3"/>
        <v>33750</v>
      </c>
      <c r="E24" s="4">
        <f>SUM(E20:E23)</f>
        <v>0</v>
      </c>
    </row>
    <row r="25" spans="1:5" s="2" customFormat="1" ht="17" x14ac:dyDescent="0.2">
      <c r="A25" s="3" t="s">
        <v>17</v>
      </c>
      <c r="B25" s="4">
        <f>B24</f>
        <v>15000</v>
      </c>
      <c r="C25" s="4">
        <f>C24-B24</f>
        <v>14250</v>
      </c>
      <c r="D25" s="4">
        <f t="shared" ref="D25:E25" si="4">D24-C24</f>
        <v>4500</v>
      </c>
      <c r="E25" s="4">
        <f t="shared" si="4"/>
        <v>-33750</v>
      </c>
    </row>
    <row r="26" spans="1:5" s="2" customFormat="1" ht="20" customHeight="1" x14ac:dyDescent="0.2"/>
    <row r="27" spans="1:5" s="2" customFormat="1" ht="17" x14ac:dyDescent="0.2">
      <c r="A27" s="5" t="s">
        <v>22</v>
      </c>
    </row>
    <row r="28" spans="1:5" s="2" customFormat="1" ht="17" x14ac:dyDescent="0.2">
      <c r="A28" s="2" t="s">
        <v>6</v>
      </c>
      <c r="B28" s="4">
        <f>B12+B9</f>
        <v>0</v>
      </c>
      <c r="C28" s="4">
        <f>C12-C9</f>
        <v>43125</v>
      </c>
      <c r="D28" s="4">
        <f t="shared" ref="D28:E28" si="5">D12-D9</f>
        <v>54375</v>
      </c>
      <c r="E28" s="4">
        <f t="shared" si="5"/>
        <v>63750</v>
      </c>
    </row>
    <row r="29" spans="1:5" s="2" customFormat="1" ht="17" x14ac:dyDescent="0.2">
      <c r="A29" s="2" t="s">
        <v>9</v>
      </c>
      <c r="B29" s="4">
        <f>-B17</f>
        <v>-90000</v>
      </c>
      <c r="C29" s="4">
        <f t="shared" ref="C29:E29" si="6">-C17</f>
        <v>0</v>
      </c>
      <c r="D29" s="4">
        <f t="shared" si="6"/>
        <v>0</v>
      </c>
      <c r="E29" s="4">
        <f t="shared" si="6"/>
        <v>7500</v>
      </c>
    </row>
    <row r="30" spans="1:5" s="2" customFormat="1" ht="17" x14ac:dyDescent="0.2">
      <c r="A30" s="2" t="s">
        <v>10</v>
      </c>
      <c r="B30" s="4">
        <f>-B25</f>
        <v>-15000</v>
      </c>
      <c r="C30" s="4">
        <f t="shared" ref="C30:E30" si="7">-C25</f>
        <v>-14250</v>
      </c>
      <c r="D30" s="4">
        <f t="shared" si="7"/>
        <v>-4500</v>
      </c>
      <c r="E30" s="4">
        <f t="shared" si="7"/>
        <v>33750</v>
      </c>
    </row>
    <row r="31" spans="1:5" s="2" customFormat="1" ht="17" x14ac:dyDescent="0.2">
      <c r="A31" s="3" t="s">
        <v>21</v>
      </c>
      <c r="B31" s="6">
        <f>SUM(B28:B30)</f>
        <v>-105000</v>
      </c>
      <c r="C31" s="6">
        <f t="shared" ref="C31:E31" si="8">SUM(C28:C30)</f>
        <v>28875</v>
      </c>
      <c r="D31" s="6">
        <f t="shared" si="8"/>
        <v>49875</v>
      </c>
      <c r="E31" s="6">
        <f t="shared" si="8"/>
        <v>105000</v>
      </c>
    </row>
    <row r="32" spans="1:5" s="2" customFormat="1" ht="34.5" customHeight="1" x14ac:dyDescent="0.2"/>
    <row r="33" spans="1:7" s="2" customFormat="1" ht="17" x14ac:dyDescent="0.2">
      <c r="A33" s="2" t="s">
        <v>7</v>
      </c>
      <c r="B33" s="7">
        <v>0.08</v>
      </c>
    </row>
    <row r="34" spans="1:7" s="2" customFormat="1" ht="17" x14ac:dyDescent="0.2">
      <c r="A34" s="3" t="s">
        <v>8</v>
      </c>
      <c r="B34" s="8">
        <f>NPV(B33,C31:E31)+B31</f>
        <v>47848.270080780349</v>
      </c>
    </row>
    <row r="37" spans="1:7" x14ac:dyDescent="0.15">
      <c r="A37" s="11" t="s">
        <v>28</v>
      </c>
      <c r="B37" s="10"/>
      <c r="C37"/>
      <c r="D37"/>
      <c r="E37"/>
      <c r="F37"/>
      <c r="G37"/>
    </row>
    <row r="38" spans="1:7" x14ac:dyDescent="0.15">
      <c r="A38"/>
      <c r="B38" s="10"/>
      <c r="C38" s="63" t="s">
        <v>29</v>
      </c>
      <c r="D38" s="63"/>
      <c r="E38" s="63"/>
      <c r="F38" s="63"/>
      <c r="G38" s="63"/>
    </row>
    <row r="39" spans="1:7" x14ac:dyDescent="0.15">
      <c r="A39"/>
      <c r="B39" s="12">
        <f>B34</f>
        <v>47848.270080780349</v>
      </c>
      <c r="C39" s="13">
        <v>165000</v>
      </c>
      <c r="D39" s="13">
        <v>180000</v>
      </c>
      <c r="E39" s="13">
        <v>195000</v>
      </c>
      <c r="F39" s="13">
        <v>210000</v>
      </c>
      <c r="G39" s="13">
        <v>225000</v>
      </c>
    </row>
    <row r="40" spans="1:7" x14ac:dyDescent="0.15">
      <c r="A40"/>
      <c r="B40" s="17">
        <v>70000</v>
      </c>
      <c r="C40" s="14">
        <f t="dataTable" ref="C40:G44" dt2D="1" dtr="1" r1="C6" r2="B17"/>
        <v>57740.245389422314</v>
      </c>
      <c r="D40" s="14">
        <v>62794.257735101331</v>
      </c>
      <c r="E40" s="14">
        <v>67848.270080780349</v>
      </c>
      <c r="F40" s="14">
        <v>72902.282426459366</v>
      </c>
      <c r="G40" s="14">
        <v>77956.294772138383</v>
      </c>
    </row>
    <row r="41" spans="1:7" x14ac:dyDescent="0.15">
      <c r="A41"/>
      <c r="B41" s="17">
        <v>80000</v>
      </c>
      <c r="C41" s="14">
        <v>47740.245389422314</v>
      </c>
      <c r="D41" s="14">
        <v>52794.257735101331</v>
      </c>
      <c r="E41" s="14">
        <v>57848.270080780349</v>
      </c>
      <c r="F41" s="14">
        <v>62902.282426459366</v>
      </c>
      <c r="G41" s="14">
        <v>67956.294772138383</v>
      </c>
    </row>
    <row r="42" spans="1:7" x14ac:dyDescent="0.15">
      <c r="A42" s="15" t="s">
        <v>30</v>
      </c>
      <c r="B42" s="17">
        <v>90000</v>
      </c>
      <c r="C42" s="14">
        <v>37740.245389422314</v>
      </c>
      <c r="D42" s="14">
        <v>42794.257735101331</v>
      </c>
      <c r="E42" s="16">
        <v>47848.270080780349</v>
      </c>
      <c r="F42" s="14">
        <v>52902.282426459366</v>
      </c>
      <c r="G42" s="14">
        <v>57956.294772138383</v>
      </c>
    </row>
    <row r="43" spans="1:7" x14ac:dyDescent="0.15">
      <c r="A43"/>
      <c r="B43" s="17">
        <v>100000</v>
      </c>
      <c r="C43" s="14">
        <v>27740.245389422314</v>
      </c>
      <c r="D43" s="14">
        <v>32794.257735101331</v>
      </c>
      <c r="E43" s="14">
        <v>37848.270080780349</v>
      </c>
      <c r="F43" s="14">
        <v>42902.282426459366</v>
      </c>
      <c r="G43" s="14">
        <v>47956.294772138383</v>
      </c>
    </row>
    <row r="44" spans="1:7" x14ac:dyDescent="0.15">
      <c r="A44"/>
      <c r="B44" s="17">
        <v>110000</v>
      </c>
      <c r="C44" s="14">
        <v>17740.245389422314</v>
      </c>
      <c r="D44" s="14">
        <v>22794.257735101331</v>
      </c>
      <c r="E44" s="14">
        <v>27848.270080780349</v>
      </c>
      <c r="F44" s="14">
        <v>32902.282426459366</v>
      </c>
      <c r="G44" s="14">
        <v>37956.294772138383</v>
      </c>
    </row>
  </sheetData>
  <mergeCells count="2">
    <mergeCell ref="A1:E1"/>
    <mergeCell ref="C38:G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5A3E-39BE-C441-96CC-47E1E03200C3}">
  <dimension ref="A1:H10"/>
  <sheetViews>
    <sheetView zoomScale="97" workbookViewId="0">
      <selection activeCell="C3" sqref="C3:G3"/>
    </sheetView>
  </sheetViews>
  <sheetFormatPr baseColWidth="10" defaultRowHeight="13" x14ac:dyDescent="0.15"/>
  <cols>
    <col min="2" max="2" width="11.1640625" bestFit="1" customWidth="1"/>
  </cols>
  <sheetData>
    <row r="1" spans="1:8" ht="14" x14ac:dyDescent="0.15">
      <c r="A1" s="1"/>
      <c r="B1" s="1"/>
      <c r="C1" s="1"/>
      <c r="D1" s="1"/>
      <c r="E1" s="1"/>
      <c r="F1" s="1"/>
      <c r="G1" s="1"/>
    </row>
    <row r="2" spans="1:8" x14ac:dyDescent="0.15">
      <c r="A2" s="11" t="s">
        <v>28</v>
      </c>
      <c r="B2" s="65"/>
      <c r="C2" s="64"/>
      <c r="D2" s="64"/>
      <c r="E2" s="64" t="s">
        <v>76</v>
      </c>
      <c r="F2" s="64"/>
      <c r="G2" s="64"/>
    </row>
    <row r="3" spans="1:8" ht="13" customHeight="1" x14ac:dyDescent="0.15">
      <c r="A3" s="64"/>
      <c r="B3" s="65" t="s">
        <v>73</v>
      </c>
      <c r="C3" s="63" t="s">
        <v>29</v>
      </c>
      <c r="D3" s="63"/>
      <c r="E3" s="63"/>
      <c r="F3" s="63"/>
      <c r="G3" s="63"/>
    </row>
    <row r="4" spans="1:8" x14ac:dyDescent="0.15">
      <c r="A4" s="64"/>
      <c r="B4" s="66">
        <v>47848.27</v>
      </c>
      <c r="C4" s="67">
        <v>165000</v>
      </c>
      <c r="D4" s="67">
        <v>180000</v>
      </c>
      <c r="E4" s="67">
        <v>195000</v>
      </c>
      <c r="F4" s="67">
        <v>210000</v>
      </c>
      <c r="G4" s="67">
        <v>225000</v>
      </c>
      <c r="H4" s="64" t="s">
        <v>74</v>
      </c>
    </row>
    <row r="5" spans="1:8" x14ac:dyDescent="0.15">
      <c r="A5" s="64"/>
      <c r="B5" s="68">
        <v>70000</v>
      </c>
      <c r="C5" s="69">
        <v>57740</v>
      </c>
      <c r="D5" s="69">
        <v>62794</v>
      </c>
      <c r="E5" s="69">
        <v>67848</v>
      </c>
      <c r="F5" s="69">
        <v>72902</v>
      </c>
      <c r="G5" s="69">
        <v>77956</v>
      </c>
    </row>
    <row r="6" spans="1:8" x14ac:dyDescent="0.15">
      <c r="A6" s="64"/>
      <c r="B6" s="68">
        <v>80000</v>
      </c>
      <c r="C6" s="69">
        <v>47740</v>
      </c>
      <c r="D6" s="69">
        <v>52794</v>
      </c>
      <c r="E6" s="69">
        <v>57848</v>
      </c>
      <c r="F6" s="69">
        <v>62902</v>
      </c>
      <c r="G6" s="69">
        <v>67956</v>
      </c>
    </row>
    <row r="7" spans="1:8" x14ac:dyDescent="0.15">
      <c r="A7" s="15" t="s">
        <v>30</v>
      </c>
      <c r="B7" s="68">
        <v>90000</v>
      </c>
      <c r="C7" s="69">
        <v>37740</v>
      </c>
      <c r="D7" s="69">
        <v>42794</v>
      </c>
      <c r="E7" s="16">
        <v>47848</v>
      </c>
      <c r="F7" s="69">
        <v>52902</v>
      </c>
      <c r="G7" s="69">
        <v>57956</v>
      </c>
    </row>
    <row r="8" spans="1:8" x14ac:dyDescent="0.15">
      <c r="A8" s="64"/>
      <c r="B8" s="68">
        <v>100000</v>
      </c>
      <c r="C8" s="69">
        <v>27740</v>
      </c>
      <c r="D8" s="69">
        <v>32794</v>
      </c>
      <c r="E8" s="69">
        <v>37848</v>
      </c>
      <c r="F8" s="69">
        <v>42902</v>
      </c>
      <c r="G8" s="69">
        <v>47956</v>
      </c>
    </row>
    <row r="9" spans="1:8" x14ac:dyDescent="0.15">
      <c r="A9" s="64"/>
      <c r="B9" s="68">
        <v>110000</v>
      </c>
      <c r="C9" s="69">
        <v>17740</v>
      </c>
      <c r="D9" s="69">
        <v>22794</v>
      </c>
      <c r="E9" s="69">
        <v>27848</v>
      </c>
      <c r="F9" s="69">
        <v>32902</v>
      </c>
      <c r="G9" s="69">
        <v>37956</v>
      </c>
    </row>
    <row r="10" spans="1:8" x14ac:dyDescent="0.15">
      <c r="A10" s="64" t="s">
        <v>75</v>
      </c>
    </row>
  </sheetData>
  <mergeCells count="1">
    <mergeCell ref="C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729C-1F87-B84E-8040-4DDE873E053B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ProForma</vt:lpstr>
      <vt:lpstr>FPV</vt:lpstr>
      <vt:lpstr>Sensitivity</vt:lpstr>
      <vt:lpstr>Solution</vt:lpstr>
      <vt:lpstr>two Way table</vt:lpstr>
      <vt:lpstr>Value of a Firm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Ogunlade, John</cp:lastModifiedBy>
  <cp:lastPrinted>2007-09-25T23:46:55Z</cp:lastPrinted>
  <dcterms:created xsi:type="dcterms:W3CDTF">2006-01-10T15:15:22Z</dcterms:created>
  <dcterms:modified xsi:type="dcterms:W3CDTF">2026-06-26T19:07:27Z</dcterms:modified>
</cp:coreProperties>
</file>